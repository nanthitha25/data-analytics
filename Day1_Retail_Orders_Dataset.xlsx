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1_Retail_Orders_Dataset.csv" sheetId="1" r:id="rId5"/>
    <sheet state="visible" name="cleaned_data" sheetId="2" r:id="rId6"/>
    <sheet state="visible" name="discount of category" sheetId="3" r:id="rId7"/>
    <sheet state="visible" name="kpi analysis" sheetId="4" r:id="rId8"/>
    <sheet state="visible" name="region wise sales" sheetId="5" r:id="rId9"/>
    <sheet state="visible" name="region wise revenue" sheetId="6" r:id="rId10"/>
    <sheet state="visible" name="dashboard" sheetId="7" r:id="rId11"/>
    <sheet state="visible" name="total revenue by category" sheetId="8" r:id="rId12"/>
  </sheets>
  <definedNames>
    <definedName hidden="1" localSheetId="1" name="_xlnm._FilterDatabase">cleaned_data!$A$1:$O$306</definedName>
  </definedNames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<sst xmlns="http://schemas.openxmlformats.org/spreadsheetml/2006/main" count="4291" uniqueCount="575">
  <si>
    <t>Order_ID</t>
  </si>
  <si>
    <t>Customer_ID</t>
  </si>
  <si>
    <t>Order_Date</t>
  </si>
  <si>
    <t>Region</t>
  </si>
  <si>
    <t>City</t>
  </si>
  <si>
    <t>Category</t>
  </si>
  <si>
    <t>Quantity</t>
  </si>
  <si>
    <t>Unit_Price</t>
  </si>
  <si>
    <t>Discount</t>
  </si>
  <si>
    <t>Total_Amount</t>
  </si>
  <si>
    <t>Payment_Method</t>
  </si>
  <si>
    <t>Rating</t>
  </si>
  <si>
    <t>Delivery_Time_Min</t>
  </si>
  <si>
    <t>Returned</t>
  </si>
  <si>
    <t xml:space="preserve"> </t>
  </si>
  <si>
    <t>ORD25100082</t>
  </si>
  <si>
    <t>CUST1020</t>
  </si>
  <si>
    <t>East</t>
  </si>
  <si>
    <t>Kolkata</t>
  </si>
  <si>
    <t>Home</t>
  </si>
  <si>
    <t>Cash</t>
  </si>
  <si>
    <t>No</t>
  </si>
  <si>
    <t>ORD25070039</t>
  </si>
  <si>
    <t>CUST1121</t>
  </si>
  <si>
    <t>North</t>
  </si>
  <si>
    <t>Gurgaon</t>
  </si>
  <si>
    <t>Fashion</t>
  </si>
  <si>
    <t>UPI</t>
  </si>
  <si>
    <t>ORD25120014</t>
  </si>
  <si>
    <t>CUST1021</t>
  </si>
  <si>
    <t>South</t>
  </si>
  <si>
    <t>Chennai</t>
  </si>
  <si>
    <t>Beauty</t>
  </si>
  <si>
    <t>Card</t>
  </si>
  <si>
    <t>ORD25110102</t>
  </si>
  <si>
    <t>CUST1306</t>
  </si>
  <si>
    <t>Madurai</t>
  </si>
  <si>
    <t>Electronics</t>
  </si>
  <si>
    <t>Yes</t>
  </si>
  <si>
    <t>ORD25120237</t>
  </si>
  <si>
    <t>CUST1233</t>
  </si>
  <si>
    <t>West</t>
  </si>
  <si>
    <t>Pune</t>
  </si>
  <si>
    <t>ORD25070189</t>
  </si>
  <si>
    <t>CUST1100</t>
  </si>
  <si>
    <t>Ahmedabad</t>
  </si>
  <si>
    <t>ORD25100054</t>
  </si>
  <si>
    <t>CUST1292</t>
  </si>
  <si>
    <t>Jaipur</t>
  </si>
  <si>
    <t>ORD25080101</t>
  </si>
  <si>
    <t>CUST1186</t>
  </si>
  <si>
    <t>NetBanking</t>
  </si>
  <si>
    <t>ORD25070031</t>
  </si>
  <si>
    <t>CUST1264</t>
  </si>
  <si>
    <t>Mumbai</t>
  </si>
  <si>
    <t>ORD25080268</t>
  </si>
  <si>
    <t>CUST1330</t>
  </si>
  <si>
    <t>Sports</t>
  </si>
  <si>
    <t>ORD25070250</t>
  </si>
  <si>
    <t>CUST1178</t>
  </si>
  <si>
    <t>ORD25110153</t>
  </si>
  <si>
    <t>CUST1209</t>
  </si>
  <si>
    <t>ORD25090277</t>
  </si>
  <si>
    <t>CUST1311</t>
  </si>
  <si>
    <t>Patna</t>
  </si>
  <si>
    <t>Grocery</t>
  </si>
  <si>
    <t>ORD25120132</t>
  </si>
  <si>
    <t>CUST1285</t>
  </si>
  <si>
    <t>ORD25120005</t>
  </si>
  <si>
    <t>CUST1347</t>
  </si>
  <si>
    <t>Coimbatore</t>
  </si>
  <si>
    <t>ORD25080180</t>
  </si>
  <si>
    <t>CUST1335</t>
  </si>
  <si>
    <t>ORD25110038</t>
  </si>
  <si>
    <t>CUST1080</t>
  </si>
  <si>
    <t>Guwahati</t>
  </si>
  <si>
    <t>ORD25080150</t>
  </si>
  <si>
    <t>CUST1046</t>
  </si>
  <si>
    <t>ORD25090234</t>
  </si>
  <si>
    <t>CUST1144</t>
  </si>
  <si>
    <t>ORD25110061</t>
  </si>
  <si>
    <t>CUST1364</t>
  </si>
  <si>
    <t>ORD25100063</t>
  </si>
  <si>
    <t>CUST1303</t>
  </si>
  <si>
    <t>ORD25090099</t>
  </si>
  <si>
    <t>CUST1055</t>
  </si>
  <si>
    <t>Salem</t>
  </si>
  <si>
    <t>ORD25100169</t>
  </si>
  <si>
    <t>CUST1312</t>
  </si>
  <si>
    <t>ORD25110045</t>
  </si>
  <si>
    <t>CUST1214</t>
  </si>
  <si>
    <t>ORD25080274</t>
  </si>
  <si>
    <t>ORD25070072</t>
  </si>
  <si>
    <t>CUST1235</t>
  </si>
  <si>
    <t>Surat</t>
  </si>
  <si>
    <t>ORD25110181</t>
  </si>
  <si>
    <t>ORD25100291</t>
  </si>
  <si>
    <t>CUST1022</t>
  </si>
  <si>
    <t>ORD25120040</t>
  </si>
  <si>
    <t>CUST1159</t>
  </si>
  <si>
    <t>ORD25080032</t>
  </si>
  <si>
    <t>CUST1265</t>
  </si>
  <si>
    <t>ORD25110218</t>
  </si>
  <si>
    <t>CUST1030</t>
  </si>
  <si>
    <t>ORD25120016</t>
  </si>
  <si>
    <t>CUST1014</t>
  </si>
  <si>
    <t>ORD25120194</t>
  </si>
  <si>
    <t>CUST1249</t>
  </si>
  <si>
    <t>ORD25070289</t>
  </si>
  <si>
    <t>ORD25120125</t>
  </si>
  <si>
    <t>ORD25100226</t>
  </si>
  <si>
    <t>Bhubaneswar</t>
  </si>
  <si>
    <t>ORD25090052</t>
  </si>
  <si>
    <t>ORD25070107</t>
  </si>
  <si>
    <t>CUST1222</t>
  </si>
  <si>
    <t>ORD25120058</t>
  </si>
  <si>
    <t>CUST1168</t>
  </si>
  <si>
    <t>Noida</t>
  </si>
  <si>
    <t>ORD25110213</t>
  </si>
  <si>
    <t>CUST1104</t>
  </si>
  <si>
    <t>ORD25110168</t>
  </si>
  <si>
    <t>CUST1372</t>
  </si>
  <si>
    <t>ORD25110022</t>
  </si>
  <si>
    <t>CUST1182</t>
  </si>
  <si>
    <t>ORD25090255</t>
  </si>
  <si>
    <t>CUST1304</t>
  </si>
  <si>
    <t>ORD25120272</t>
  </si>
  <si>
    <t>CUST1381</t>
  </si>
  <si>
    <t>ORD25090269</t>
  </si>
  <si>
    <t>ORD25090018</t>
  </si>
  <si>
    <t>CUST1206</t>
  </si>
  <si>
    <t>ORD25100286</t>
  </si>
  <si>
    <t>CUST1003</t>
  </si>
  <si>
    <t>ORD25120256</t>
  </si>
  <si>
    <t>CUST1202</t>
  </si>
  <si>
    <t>ORD25090146</t>
  </si>
  <si>
    <t>CUST1323</t>
  </si>
  <si>
    <t>ORD25120192</t>
  </si>
  <si>
    <t>CUST1371</t>
  </si>
  <si>
    <t>ORD25120084</t>
  </si>
  <si>
    <t>Delhi</t>
  </si>
  <si>
    <t>ORD25080172</t>
  </si>
  <si>
    <t>CUST1017</t>
  </si>
  <si>
    <t>ORD25110073</t>
  </si>
  <si>
    <t>ORD25120216</t>
  </si>
  <si>
    <t>CUST1283</t>
  </si>
  <si>
    <t>ORD25080247</t>
  </si>
  <si>
    <t>CUST1134</t>
  </si>
  <si>
    <t>ORD25090100</t>
  </si>
  <si>
    <t>CUST1188</t>
  </si>
  <si>
    <t>ORD25080298</t>
  </si>
  <si>
    <t>CUST1034</t>
  </si>
  <si>
    <t>ORD25110106</t>
  </si>
  <si>
    <t>CUST1341</t>
  </si>
  <si>
    <t>ORD25120207</t>
  </si>
  <si>
    <t>ORD25080033</t>
  </si>
  <si>
    <t>CUST1351</t>
  </si>
  <si>
    <t>ORD25070070</t>
  </si>
  <si>
    <t>CUST1061</t>
  </si>
  <si>
    <t>ORD25120151</t>
  </si>
  <si>
    <t>CUST1132</t>
  </si>
  <si>
    <t>ORD25120193</t>
  </si>
  <si>
    <t>CUST1205</t>
  </si>
  <si>
    <t>ORD25090110</t>
  </si>
  <si>
    <t>CUST1081</t>
  </si>
  <si>
    <t>ORD25080159</t>
  </si>
  <si>
    <t>CUST1108</t>
  </si>
  <si>
    <t>ORD25110232</t>
  </si>
  <si>
    <t>CUST1396</t>
  </si>
  <si>
    <t>ORD25070134</t>
  </si>
  <si>
    <t>CUST1079</t>
  </si>
  <si>
    <t>ORD25090288</t>
  </si>
  <si>
    <t>CUST1322</t>
  </si>
  <si>
    <t>ORD25090091</t>
  </si>
  <si>
    <t>CUST1039</t>
  </si>
  <si>
    <t>ORD25120055</t>
  </si>
  <si>
    <t>CUST1029</t>
  </si>
  <si>
    <t>ORD25080089</t>
  </si>
  <si>
    <t>CUST1015</t>
  </si>
  <si>
    <t>ORD25110030</t>
  </si>
  <si>
    <t>CUST1307</t>
  </si>
  <si>
    <t>ORD25080096</t>
  </si>
  <si>
    <t>CUST1276</t>
  </si>
  <si>
    <t>ORD25110265</t>
  </si>
  <si>
    <t>CUST1085</t>
  </si>
  <si>
    <t>ORD25070147</t>
  </si>
  <si>
    <t>CUST1318</t>
  </si>
  <si>
    <t>ORD25070253</t>
  </si>
  <si>
    <t>CUST1315</t>
  </si>
  <si>
    <t>ORD25100267</t>
  </si>
  <si>
    <t>CUST1388</t>
  </si>
  <si>
    <t>ORD25070006</t>
  </si>
  <si>
    <t>CUST1378</t>
  </si>
  <si>
    <t>ORD25070197</t>
  </si>
  <si>
    <t>CUST1099</t>
  </si>
  <si>
    <t>ORD25090123</t>
  </si>
  <si>
    <t>CUST1281</t>
  </si>
  <si>
    <t>ORD25100027</t>
  </si>
  <si>
    <t>ORD25120184</t>
  </si>
  <si>
    <t>CUST1035</t>
  </si>
  <si>
    <t>ORD25080090</t>
  </si>
  <si>
    <t>CUST1151</t>
  </si>
  <si>
    <t>ORD25090076</t>
  </si>
  <si>
    <t>CUST1299</t>
  </si>
  <si>
    <t>ORD25100279</t>
  </si>
  <si>
    <t>CUST1362</t>
  </si>
  <si>
    <t>ORD25090283</t>
  </si>
  <si>
    <t>ORD25110230</t>
  </si>
  <si>
    <t>CUST1337</t>
  </si>
  <si>
    <t>ORD25100116</t>
  </si>
  <si>
    <t>CUST1394</t>
  </si>
  <si>
    <t>ORD25080078</t>
  </si>
  <si>
    <t>CUST1069</t>
  </si>
  <si>
    <t>ORD25120081</t>
  </si>
  <si>
    <t>CUST1087</t>
  </si>
  <si>
    <t>ORD25120079</t>
  </si>
  <si>
    <t>CUST1288</t>
  </si>
  <si>
    <t>ORD25070105</t>
  </si>
  <si>
    <t>CUST1294</t>
  </si>
  <si>
    <t>ORD25080009</t>
  </si>
  <si>
    <t>ORD25110046</t>
  </si>
  <si>
    <t>CUST1122</t>
  </si>
  <si>
    <t>ORD25080214</t>
  </si>
  <si>
    <t>CUST1280</t>
  </si>
  <si>
    <t>ORD25080007</t>
  </si>
  <si>
    <t>CUST1268</t>
  </si>
  <si>
    <t>ORD25120028</t>
  </si>
  <si>
    <t>CUST1173</t>
  </si>
  <si>
    <t>ORD25110004</t>
  </si>
  <si>
    <t>CUST1072</t>
  </si>
  <si>
    <t>ORD25090155</t>
  </si>
  <si>
    <t>CUST1332</t>
  </si>
  <si>
    <t>ORD25110104</t>
  </si>
  <si>
    <t>CUST1344</t>
  </si>
  <si>
    <t>ORD25070021</t>
  </si>
  <si>
    <t>ORD25090176</t>
  </si>
  <si>
    <t>ORD25110202</t>
  </si>
  <si>
    <t>CUST1274</t>
  </si>
  <si>
    <t>ORD25090017</t>
  </si>
  <si>
    <t>CUST1314</t>
  </si>
  <si>
    <t>ORD25100128</t>
  </si>
  <si>
    <t>CUST1130</t>
  </si>
  <si>
    <t>ORD25090280</t>
  </si>
  <si>
    <t>CUST1059</t>
  </si>
  <si>
    <t>ORD25090164</t>
  </si>
  <si>
    <t>CUST1326</t>
  </si>
  <si>
    <t>ORD25090149</t>
  </si>
  <si>
    <t>CUST1032</t>
  </si>
  <si>
    <t>ORD25070175</t>
  </si>
  <si>
    <t>CUST1298</t>
  </si>
  <si>
    <t>ORD25110037</t>
  </si>
  <si>
    <t>ORD25120024</t>
  </si>
  <si>
    <t>CUST1062</t>
  </si>
  <si>
    <t>ORD25110299</t>
  </si>
  <si>
    <t>ORD25070124</t>
  </si>
  <si>
    <t>CUST1261</t>
  </si>
  <si>
    <t>ORD25080205</t>
  </si>
  <si>
    <t>CUST1308</t>
  </si>
  <si>
    <t>ORD25120003</t>
  </si>
  <si>
    <t>CUST1227</t>
  </si>
  <si>
    <t>ORD25070010</t>
  </si>
  <si>
    <t>CUST1124</t>
  </si>
  <si>
    <t>ORD25100185</t>
  </si>
  <si>
    <t>CUST1201</t>
  </si>
  <si>
    <t>ORD25080075</t>
  </si>
  <si>
    <t>CUST1216</t>
  </si>
  <si>
    <t>ORD25080208</t>
  </si>
  <si>
    <t>CUST1074</t>
  </si>
  <si>
    <t>ORD25090141</t>
  </si>
  <si>
    <t>CUST1018</t>
  </si>
  <si>
    <t>ORD25080221</t>
  </si>
  <si>
    <t>CUST1084</t>
  </si>
  <si>
    <t>ORD25110163</t>
  </si>
  <si>
    <t>CUST1248</t>
  </si>
  <si>
    <t>ORD25090135</t>
  </si>
  <si>
    <t>ORD25090254</t>
  </si>
  <si>
    <t>CUST1240</t>
  </si>
  <si>
    <t>ORD25100094</t>
  </si>
  <si>
    <t>CUST1153</t>
  </si>
  <si>
    <t>ORD25070178</t>
  </si>
  <si>
    <t>CUST1189</t>
  </si>
  <si>
    <t>ORD25090133</t>
  </si>
  <si>
    <t>CUST1252</t>
  </si>
  <si>
    <t>ORD25100160</t>
  </si>
  <si>
    <t>CUST1016</t>
  </si>
  <si>
    <t>ORD25110157</t>
  </si>
  <si>
    <t>CUST1086</t>
  </si>
  <si>
    <t>ORD25120093</t>
  </si>
  <si>
    <t>CUST1321</t>
  </si>
  <si>
    <t>ORD25120167</t>
  </si>
  <si>
    <t>ORD25080257</t>
  </si>
  <si>
    <t>CUST1217</t>
  </si>
  <si>
    <t>ORD25110117</t>
  </si>
  <si>
    <t>ORD25070243</t>
  </si>
  <si>
    <t>ORD25120152</t>
  </si>
  <si>
    <t>ORD25120156</t>
  </si>
  <si>
    <t>CUST1379</t>
  </si>
  <si>
    <t>ORD25120087</t>
  </si>
  <si>
    <t>CUST1019</t>
  </si>
  <si>
    <t>ORD25080273</t>
  </si>
  <si>
    <t>CUST1365</t>
  </si>
  <si>
    <t>ORD25120182</t>
  </si>
  <si>
    <t>ORD25110029</t>
  </si>
  <si>
    <t>CUST1251</t>
  </si>
  <si>
    <t>ORD25120056</t>
  </si>
  <si>
    <t>ORD25120048</t>
  </si>
  <si>
    <t>CUST1049</t>
  </si>
  <si>
    <t>ORD25090199</t>
  </si>
  <si>
    <t>CUST1207</t>
  </si>
  <si>
    <t>ORD25090108</t>
  </si>
  <si>
    <t>CUST1043</t>
  </si>
  <si>
    <t>ORD25090260</t>
  </si>
  <si>
    <t>ORD25110026</t>
  </si>
  <si>
    <t>CUST1272</t>
  </si>
  <si>
    <t>ORD25110098</t>
  </si>
  <si>
    <t>CUST1102</t>
  </si>
  <si>
    <t>ORD25080154</t>
  </si>
  <si>
    <t>CUST1387</t>
  </si>
  <si>
    <t>ORD25090080</t>
  </si>
  <si>
    <t>CUST1119</t>
  </si>
  <si>
    <t>ORD25100012</t>
  </si>
  <si>
    <t>CUST1310</t>
  </si>
  <si>
    <t>ORD25120143</t>
  </si>
  <si>
    <t>CUST1215</t>
  </si>
  <si>
    <t>ORD25110139</t>
  </si>
  <si>
    <t>ORD25110236</t>
  </si>
  <si>
    <t>CUST1349</t>
  </si>
  <si>
    <t>ORD25080196</t>
  </si>
  <si>
    <t>CUST1356</t>
  </si>
  <si>
    <t>ORD25110068</t>
  </si>
  <si>
    <t>ORD25110198</t>
  </si>
  <si>
    <t>CUST1399</t>
  </si>
  <si>
    <t>ORD25070083</t>
  </si>
  <si>
    <t>ORD25120069</t>
  </si>
  <si>
    <t>CUST1225</t>
  </si>
  <si>
    <t>ORD25120281</t>
  </si>
  <si>
    <t>CUST1320</t>
  </si>
  <si>
    <t>ORD25090074</t>
  </si>
  <si>
    <t>CUST1300</t>
  </si>
  <si>
    <t>ORD25090043</t>
  </si>
  <si>
    <t>ORD25080282</t>
  </si>
  <si>
    <t>ORD25080166</t>
  </si>
  <si>
    <t>ORD25090008</t>
  </si>
  <si>
    <t>ORD25080131</t>
  </si>
  <si>
    <t>CUST1253</t>
  </si>
  <si>
    <t>ORD25080278</t>
  </si>
  <si>
    <t>ORD25120238</t>
  </si>
  <si>
    <t>CUST1008</t>
  </si>
  <si>
    <t>ORD25110020</t>
  </si>
  <si>
    <t>CUST1004</t>
  </si>
  <si>
    <t>ORD25110173</t>
  </si>
  <si>
    <t>CUST1305</t>
  </si>
  <si>
    <t>ORD25100122</t>
  </si>
  <si>
    <t>CUST1137</t>
  </si>
  <si>
    <t>ORD25070285</t>
  </si>
  <si>
    <t>CUST1271</t>
  </si>
  <si>
    <t>ORD25120137</t>
  </si>
  <si>
    <t>ORD25110201</t>
  </si>
  <si>
    <t>CUST1184</t>
  </si>
  <si>
    <t>ORD25080085</t>
  </si>
  <si>
    <t>CUST1392</t>
  </si>
  <si>
    <t>ORD25080227</t>
  </si>
  <si>
    <t>ORD25120114</t>
  </si>
  <si>
    <t>ORD25080044</t>
  </si>
  <si>
    <t>CUST1368</t>
  </si>
  <si>
    <t>ORD25120190</t>
  </si>
  <si>
    <t>ORD25070223</t>
  </si>
  <si>
    <t>ORD25070270</t>
  </si>
  <si>
    <t>CUST1256</t>
  </si>
  <si>
    <t>ORD25110217</t>
  </si>
  <si>
    <t>CUST1053</t>
  </si>
  <si>
    <t>ORD25110212</t>
  </si>
  <si>
    <t>CUST1397</t>
  </si>
  <si>
    <t>ORD25110036</t>
  </si>
  <si>
    <t>CUST1250</t>
  </si>
  <si>
    <t>ORD25120112</t>
  </si>
  <si>
    <t>CUST1167</t>
  </si>
  <si>
    <t>ORD25080034</t>
  </si>
  <si>
    <t>CUST1340</t>
  </si>
  <si>
    <t>ORD25120174</t>
  </si>
  <si>
    <t>CUST1212</t>
  </si>
  <si>
    <t>ORD25080001</t>
  </si>
  <si>
    <t>CUST1355</t>
  </si>
  <si>
    <t>ORD25100233</t>
  </si>
  <si>
    <t>ORD25100136</t>
  </si>
  <si>
    <t>ORD25080264</t>
  </si>
  <si>
    <t>ORD25080203</t>
  </si>
  <si>
    <t>CUST1336</t>
  </si>
  <si>
    <t>ORD25070263</t>
  </si>
  <si>
    <t>ORD25120071</t>
  </si>
  <si>
    <t>CUST1006</t>
  </si>
  <si>
    <t>ORD25120271</t>
  </si>
  <si>
    <t>CUST1097</t>
  </si>
  <si>
    <t>ORD25080191</t>
  </si>
  <si>
    <t>ORD25110258</t>
  </si>
  <si>
    <t>CUST1196</t>
  </si>
  <si>
    <t>ORD25100011</t>
  </si>
  <si>
    <t>CUST1291</t>
  </si>
  <si>
    <t>ORD25120294</t>
  </si>
  <si>
    <t>CUST1174</t>
  </si>
  <si>
    <t>ORD25100019</t>
  </si>
  <si>
    <t>CUST1088</t>
  </si>
  <si>
    <t>ORD25080292</t>
  </si>
  <si>
    <t>CUST1339</t>
  </si>
  <si>
    <t>ORD25080049</t>
  </si>
  <si>
    <t>ORD25090219</t>
  </si>
  <si>
    <t>ORD25100067</t>
  </si>
  <si>
    <t>CUST1333</t>
  </si>
  <si>
    <t>ORD25070042</t>
  </si>
  <si>
    <t>CUST1198</t>
  </si>
  <si>
    <t>ORD25080300</t>
  </si>
  <si>
    <t>CUST1044</t>
  </si>
  <si>
    <t>ORD25100140</t>
  </si>
  <si>
    <t>CUST1210</t>
  </si>
  <si>
    <t>ORD25070077</t>
  </si>
  <si>
    <t>CUST1325</t>
  </si>
  <si>
    <t>ORD25100095</t>
  </si>
  <si>
    <t>CUST1161</t>
  </si>
  <si>
    <t>ORD25080086</t>
  </si>
  <si>
    <t>CUST1026</t>
  </si>
  <si>
    <t>ORD25080186</t>
  </si>
  <si>
    <t>CUST1023</t>
  </si>
  <si>
    <t>ORD25110290</t>
  </si>
  <si>
    <t>CUST1038</t>
  </si>
  <si>
    <t>ORD25090097</t>
  </si>
  <si>
    <t>CUST1089</t>
  </si>
  <si>
    <t>ORD25080224</t>
  </si>
  <si>
    <t>CUST1112</t>
  </si>
  <si>
    <t>ORD25080162</t>
  </si>
  <si>
    <t>CUST1363</t>
  </si>
  <si>
    <t>ORD25100119</t>
  </si>
  <si>
    <t>CUST1346</t>
  </si>
  <si>
    <t>ORD25110088</t>
  </si>
  <si>
    <t>ORD25120259</t>
  </si>
  <si>
    <t>ORD25100103</t>
  </si>
  <si>
    <t>ORD25090284</t>
  </si>
  <si>
    <t>CUST1180</t>
  </si>
  <si>
    <t>ORD25090065</t>
  </si>
  <si>
    <t>ORD25090165</t>
  </si>
  <si>
    <t>CUST1183</t>
  </si>
  <si>
    <t>ORD25090211</t>
  </si>
  <si>
    <t>CUST1273</t>
  </si>
  <si>
    <t>ORD25080161</t>
  </si>
  <si>
    <t>CUST1092</t>
  </si>
  <si>
    <t>ORD25070092</t>
  </si>
  <si>
    <t>ORD25090200</t>
  </si>
  <si>
    <t>CUST1275</t>
  </si>
  <si>
    <t>ORD25090295</t>
  </si>
  <si>
    <t>ORD25090204</t>
  </si>
  <si>
    <t>CUST1247</t>
  </si>
  <si>
    <t>ORD25070015</t>
  </si>
  <si>
    <t>ORD25100113</t>
  </si>
  <si>
    <t>CUST1166</t>
  </si>
  <si>
    <t>ORD25070296</t>
  </si>
  <si>
    <t>CUST1163</t>
  </si>
  <si>
    <t>ORD25100229</t>
  </si>
  <si>
    <t>ORD25120266</t>
  </si>
  <si>
    <t>ORD25080035</t>
  </si>
  <si>
    <t>ORD25080225</t>
  </si>
  <si>
    <t>CUST1367</t>
  </si>
  <si>
    <t>ORD25080210</t>
  </si>
  <si>
    <t>ORD25080177</t>
  </si>
  <si>
    <t>CUST1116</t>
  </si>
  <si>
    <t>ORD25090244</t>
  </si>
  <si>
    <t>ORD25090051</t>
  </si>
  <si>
    <t>ORD25080171</t>
  </si>
  <si>
    <t>ORD25120170</t>
  </si>
  <si>
    <t>CUST1352</t>
  </si>
  <si>
    <t>ORD25080148</t>
  </si>
  <si>
    <t>ORD25120111</t>
  </si>
  <si>
    <t>ORD25080062</t>
  </si>
  <si>
    <t>CUST1011</t>
  </si>
  <si>
    <t>ORD25110179</t>
  </si>
  <si>
    <t>CUST1270</t>
  </si>
  <si>
    <t>ORD25070158</t>
  </si>
  <si>
    <t>CUST1200</t>
  </si>
  <si>
    <t>ORD25070195</t>
  </si>
  <si>
    <t>ORD25070231</t>
  </si>
  <si>
    <t>ORD25120047</t>
  </si>
  <si>
    <t>ORD25120245</t>
  </si>
  <si>
    <t>ORD25100241</t>
  </si>
  <si>
    <t>ORD25080144</t>
  </si>
  <si>
    <t>CUST1169</t>
  </si>
  <si>
    <t>ORD25090115</t>
  </si>
  <si>
    <t>ORD25100248</t>
  </si>
  <si>
    <t>CUST1263</t>
  </si>
  <si>
    <t>ORD25090287</t>
  </si>
  <si>
    <t>CUST1377</t>
  </si>
  <si>
    <t>ORD25090109</t>
  </si>
  <si>
    <t>ORD25110220</t>
  </si>
  <si>
    <t>ORD25120002</t>
  </si>
  <si>
    <t>CUST1139</t>
  </si>
  <si>
    <t>ORD25070041</t>
  </si>
  <si>
    <t>ORD25100025</t>
  </si>
  <si>
    <t>CUST1342</t>
  </si>
  <si>
    <t>ORD25070262</t>
  </si>
  <si>
    <t>ORD25090240</t>
  </si>
  <si>
    <t>ORD25080145</t>
  </si>
  <si>
    <t>ORD25100129</t>
  </si>
  <si>
    <t>ORD25120187</t>
  </si>
  <si>
    <t>CUST1123</t>
  </si>
  <si>
    <t>ORD25070053</t>
  </si>
  <si>
    <t>CUST1024</t>
  </si>
  <si>
    <t>ORD25110246</t>
  </si>
  <si>
    <t>ORD25090261</t>
  </si>
  <si>
    <t>ORD25100064</t>
  </si>
  <si>
    <t>CUST1158</t>
  </si>
  <si>
    <t>ORD25100183</t>
  </si>
  <si>
    <t>CUST1260</t>
  </si>
  <si>
    <t>ORD25070293</t>
  </si>
  <si>
    <t>CUST1148</t>
  </si>
  <si>
    <t>ORD25070206</t>
  </si>
  <si>
    <t>CUST1066</t>
  </si>
  <si>
    <t>ORD25090059</t>
  </si>
  <si>
    <t>CUST1052</t>
  </si>
  <si>
    <t>ORD25100142</t>
  </si>
  <si>
    <t>CUST1313</t>
  </si>
  <si>
    <t>ORD25070050</t>
  </si>
  <si>
    <t>ORD25090209</t>
  </si>
  <si>
    <t>CUST1025</t>
  </si>
  <si>
    <t>ORD25070138</t>
  </si>
  <si>
    <t>ORD25120120</t>
  </si>
  <si>
    <t>CUST1197</t>
  </si>
  <si>
    <t>ORD25110276</t>
  </si>
  <si>
    <t>ORD25080228</t>
  </si>
  <si>
    <t>CUST1193</t>
  </si>
  <si>
    <t>ORD25080130</t>
  </si>
  <si>
    <t>ORD25080215</t>
  </si>
  <si>
    <t>ORD25070275</t>
  </si>
  <si>
    <t>ORD25100013</t>
  </si>
  <si>
    <t>ORD25110121</t>
  </si>
  <si>
    <t>ORD25120235</t>
  </si>
  <si>
    <t>ORD25080188</t>
  </si>
  <si>
    <t>ORD25090239</t>
  </si>
  <si>
    <t>CUST1125</t>
  </si>
  <si>
    <t>ORD25100222</t>
  </si>
  <si>
    <t>ORD25090118</t>
  </si>
  <si>
    <t>CUST1064</t>
  </si>
  <si>
    <t>ORD25070249</t>
  </si>
  <si>
    <t>CUST1278</t>
  </si>
  <si>
    <t>ORD25120242</t>
  </si>
  <si>
    <t>CUST1309</t>
  </si>
  <si>
    <t>ORD25110251</t>
  </si>
  <si>
    <t>ORD25100297</t>
  </si>
  <si>
    <t>CUST1234</t>
  </si>
  <si>
    <t>ORD25120060</t>
  </si>
  <si>
    <t>CUST1358</t>
  </si>
  <si>
    <t>ORD25090023</t>
  </si>
  <si>
    <t>CUST1149</t>
  </si>
  <si>
    <t>ORD25120066</t>
  </si>
  <si>
    <t>ORD25120126</t>
  </si>
  <si>
    <t>CUST1243</t>
  </si>
  <si>
    <t>ORD25110252</t>
  </si>
  <si>
    <t>CUST1114</t>
  </si>
  <si>
    <t>ORD25120057</t>
  </si>
  <si>
    <t>CUST1103</t>
  </si>
  <si>
    <t>ORD25080127</t>
  </si>
  <si>
    <t>CUST1111</t>
  </si>
  <si>
    <t>Column 1</t>
  </si>
  <si>
    <t>SUM of Discount</t>
  </si>
  <si>
    <t>Grand Total</t>
  </si>
  <si>
    <t>Total Order</t>
  </si>
  <si>
    <t>Unique Customers</t>
  </si>
  <si>
    <t>Total Revenue</t>
  </si>
  <si>
    <t>Avg Order Value</t>
  </si>
  <si>
    <t xml:space="preserve">Avg Rating </t>
  </si>
  <si>
    <t>Returned Orders</t>
  </si>
  <si>
    <t xml:space="preserve">Return Rate </t>
  </si>
  <si>
    <t>Total Amount</t>
  </si>
  <si>
    <t>SUM of Quantity</t>
  </si>
  <si>
    <t>SUM of Total_Amount</t>
  </si>
  <si>
    <t>INSIGHTS</t>
  </si>
  <si>
    <t>TOP REVENUE REGION NORTH</t>
  </si>
  <si>
    <t>TOP REVENUE REGION ELECTRONICS</t>
  </si>
  <si>
    <t xml:space="preserve">TOP DISCOUNTED CATEGORY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</si>
</sst>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Font="1" applyNumberFormat="1"/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cleaned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Discount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'discount of category'!$A$3:$A$8</c:f>
            </c:strRef>
          </c:cat>
          <c:val>
            <c:numRef>
              <c:f>'discount of category'!$B$3:$B$8</c:f>
              <c:numCache/>
            </c:numRef>
          </c:val>
          <c:smooth val="0"/>
        </c:ser>
        <c:axId val="1318673001"/>
        <c:axId val="1662521859"/>
      </c:lineChart>
      <c:catAx>
        <c:axId val="1318673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521859"/>
      </c:catAx>
      <c:valAx>
        <c:axId val="1662521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673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Quantity vs. Region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'region wise sales'!$A$2:$A$6</c:f>
            </c:strRef>
          </c:cat>
          <c:val>
            <c:numRef>
              <c:f>'region wise sales'!$B$2:$B$6</c:f>
              <c:numCache/>
            </c:numRef>
          </c:val>
        </c:ser>
        <c:axId val="1680954163"/>
        <c:axId val="106781779"/>
      </c:areaChart>
      <c:catAx>
        <c:axId val="1680954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81779"/>
      </c:catAx>
      <c:valAx>
        <c:axId val="106781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954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'region wise revenue'!$A$2:$A$6</c:f>
            </c:strRef>
          </c:cat>
          <c:val>
            <c:numRef>
              <c:f>'region wise revenue'!$B$2:$B$6</c:f>
              <c:numCache/>
            </c:numRef>
          </c:val>
        </c:ser>
        <c:axId val="1997489450"/>
        <c:axId val="1239868414"/>
      </c:barChart>
      <c:catAx>
        <c:axId val="1997489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868414"/>
      </c:catAx>
      <c:valAx>
        <c:axId val="1239868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489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Discount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'discount of category'!$A$3:$A$8</c:f>
            </c:strRef>
          </c:cat>
          <c:val>
            <c:numRef>
              <c:f>'discount of category'!$B$3:$B$8</c:f>
              <c:numCache/>
            </c:numRef>
          </c:val>
          <c:smooth val="0"/>
        </c:ser>
        <c:axId val="1401125624"/>
        <c:axId val="1959220144"/>
      </c:lineChart>
      <c:catAx>
        <c:axId val="1401125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220144"/>
      </c:catAx>
      <c:valAx>
        <c:axId val="1959220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125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Quantity vs. Region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spPr>
            <a:solidFill>
              <a:schemeClr val="accent6">
                <a:alpha val="30000"/>
              </a:schemeClr>
            </a:solidFill>
            <a:ln cmpd="sng">
              <a:solidFill>
                <a:schemeClr val="accent6"/>
              </a:solidFill>
            </a:ln>
          </c:spPr>
          <c:cat>
            <c:strRef>
              <c:f>'region wise sales'!$A$2:$A$6</c:f>
            </c:strRef>
          </c:cat>
          <c:val>
            <c:numRef>
              <c:f>'region wise sales'!$B$2:$B$6</c:f>
              <c:numCache/>
            </c:numRef>
          </c:val>
        </c:ser>
        <c:axId val="1652466031"/>
        <c:axId val="331548676"/>
      </c:areaChart>
      <c:catAx>
        <c:axId val="1652466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548676"/>
      </c:catAx>
      <c:valAx>
        <c:axId val="331548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4660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'total revenue by category'!$A$2:$A$7</c:f>
            </c:strRef>
          </c:cat>
          <c:val>
            <c:numRef>
              <c:f>'total revenue by category'!$B$2:$B$7</c:f>
              <c:numCache/>
            </c:numRef>
          </c:val>
        </c:ser>
        <c:axId val="181345333"/>
        <c:axId val="1741993000"/>
      </c:barChart>
      <c:catAx>
        <c:axId val="181345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993000"/>
      </c:catAx>
      <c:valAx>
        <c:axId val="1741993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45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'region wise revenue'!$A$2:$A$6</c:f>
            </c:strRef>
          </c:cat>
          <c:val>
            <c:numRef>
              <c:f>'region wise revenue'!$B$2:$B$6</c:f>
              <c:numCache/>
            </c:numRef>
          </c:val>
        </c:ser>
        <c:axId val="145008320"/>
        <c:axId val="1409296767"/>
      </c:barChart>
      <c:catAx>
        <c:axId val="14500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296767"/>
      </c:catAx>
      <c:valAx>
        <c:axId val="1409296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08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revenue by category'!$A$2:$A$7</c:f>
            </c:strRef>
          </c:cat>
          <c:val>
            <c:numRef>
              <c:f>'total revenue by category'!$B$2:$B$7</c:f>
              <c:numCache/>
            </c:numRef>
          </c:val>
        </c:ser>
        <c:axId val="964069574"/>
        <c:axId val="1016862570"/>
      </c:barChart>
      <c:catAx>
        <c:axId val="964069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862570"/>
      </c:catAx>
      <c:valAx>
        <c:axId val="1016862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069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9525</xdr:rowOff>
    </xdr:from>
    <xdr:ext cx="5715000" cy="3733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4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52482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47910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152400</xdr:rowOff>
    </xdr:from>
    <xdr:ext cx="47910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942975</xdr:colOff>
      <xdr:row>17</xdr:row>
      <xdr:rowOff>152400</xdr:rowOff>
    </xdr:from>
    <xdr:ext cx="524827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942975</xdr:colOff>
      <xdr:row>0</xdr:row>
      <xdr:rowOff>19050</xdr:rowOff>
    </xdr:from>
    <xdr:ext cx="5248275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104775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306" sheet="cleaned_data"/>
  </cacheSource>
  <cacheFields>
    <cacheField name="Order_ID" numFmtId="0">
      <sharedItems containsBlank="1">
        <s v="ORD25100082"/>
        <s v="ORD25070039"/>
        <s v="ORD25120014"/>
        <s v="ORD25110102"/>
        <s v="ORD25120237"/>
        <s v="ORD25070189"/>
        <s v="ORD25100054"/>
        <s v="ORD25080101"/>
        <s v="ORD25070031"/>
        <s v="ORD25080268"/>
        <s v="ORD25070250"/>
        <s v="ORD25110153"/>
        <s v="ORD25090277"/>
        <s v="ORD25120132"/>
        <s v="ORD25120005"/>
        <s v="ORD25080180"/>
        <s v="ORD25110038"/>
        <s v="ORD25080150"/>
        <s v="ORD25090234"/>
        <s v="ORD25110061"/>
        <s v="ORD25100063"/>
        <s v="ORD25090099"/>
        <s v="ORD25100169"/>
        <s v="ORD25110045"/>
        <s v="ORD25080274"/>
        <s v="ORD25070072"/>
        <s v="ORD25110181"/>
        <s v="ORD25100291"/>
        <s v="ORD25120040"/>
        <s v="ORD25080032"/>
        <s v="ORD25110218"/>
        <s v="ORD25120016"/>
        <s v="ORD25120194"/>
        <s v="ORD25070289"/>
        <s v="ORD25120125"/>
        <s v="ORD25100226"/>
        <s v="ORD25090052"/>
        <s v="ORD25070107"/>
        <s v="ORD25120058"/>
        <s v="ORD25110213"/>
        <s v="ORD25110168"/>
        <s v="ORD25110022"/>
        <s v="ORD25090255"/>
        <s v="ORD25120272"/>
        <s v="ORD25090269"/>
        <s v="ORD25090018"/>
        <s v="ORD25100286"/>
        <s v="ORD25120256"/>
        <s v="ORD25090146"/>
        <s v="ORD25120192"/>
        <s v="ORD25120084"/>
        <s v="ORD25080172"/>
        <s v="ORD25110073"/>
        <s v="ORD25120216"/>
        <s v="ORD25080247"/>
        <s v="ORD25090100"/>
        <s v="ORD25080298"/>
        <s v="ORD25110106"/>
        <s v="ORD25120207"/>
        <s v="ORD25080033"/>
        <s v="ORD25070070"/>
        <s v="ORD25120151"/>
        <s v="ORD25120193"/>
        <s v="ORD25090110"/>
        <s v="ORD25080159"/>
        <s v="ORD25110232"/>
        <s v="ORD25070134"/>
        <s v="ORD25090288"/>
        <s v="ORD25090091"/>
        <s v="ORD25120055"/>
        <s v="ORD25080089"/>
        <s v="ORD25110030"/>
        <s v="ORD25080096"/>
        <s v="ORD25110265"/>
        <s v="ORD25070147"/>
        <s v="ORD25070253"/>
        <s v="ORD25100267"/>
        <s v="ORD25070006"/>
        <s v="ORD25070197"/>
        <s v="ORD25090123"/>
        <s v="ORD25100027"/>
        <s v="ORD25120184"/>
        <s v="ORD25080090"/>
        <s v="ORD25090076"/>
        <s v="ORD25100279"/>
        <s v="ORD25090283"/>
        <s v="ORD25110230"/>
        <s v="ORD25100116"/>
        <s v="ORD25080078"/>
        <s v="ORD25120081"/>
        <s v="ORD25120079"/>
        <s v="ORD25070105"/>
        <s v="ORD25080009"/>
        <s v="ORD25110046"/>
        <s v="ORD25080214"/>
        <s v="ORD25080007"/>
        <s v="ORD25120028"/>
        <s v="ORD25110004"/>
        <s v="ORD25090155"/>
        <s v="ORD25110104"/>
        <s v="ORD25070021"/>
        <s v="ORD25090176"/>
        <s v="ORD25110202"/>
        <s v="ORD25090017"/>
        <s v="ORD25100128"/>
        <s v="ORD25090280"/>
        <s v="ORD25090164"/>
        <s v="ORD25090149"/>
        <s v="ORD25070175"/>
        <s v="ORD25110037"/>
        <s v="ORD25120024"/>
        <s v="ORD25110299"/>
        <s v="ORD25070124"/>
        <s v="ORD25080205"/>
        <s v="ORD25120003"/>
        <s v="ORD25070010"/>
        <s v="ORD25100185"/>
        <s v="ORD25080075"/>
        <s v="ORD25080208"/>
        <s v="ORD25090141"/>
        <s v="ORD25080221"/>
        <s v="ORD25110163"/>
        <s v="ORD25090135"/>
        <s v="ORD25090254"/>
        <s v="ORD25100094"/>
        <s v="ORD25070178"/>
        <s v="ORD25090133"/>
        <s v="ORD25100160"/>
        <s v="ORD25110157"/>
        <s v="ORD25120093"/>
        <s v="ORD25120167"/>
        <s v="ORD25080257"/>
        <s v="ORD25110117"/>
        <s v="ORD25070243"/>
        <s v="ORD25120152"/>
        <s v="ORD25120156"/>
        <s v="ORD25120087"/>
        <s v="ORD25080273"/>
        <s v="ORD25120182"/>
        <s v="ORD25110029"/>
        <s v="ORD25120056"/>
        <s v="ORD25120048"/>
        <s v="ORD25090199"/>
        <s v="ORD25090108"/>
        <s v="ORD25090260"/>
        <s v="ORD25110026"/>
        <s v="ORD25110098"/>
        <s v="ORD25080154"/>
        <s v="ORD25090080"/>
        <s v="ORD25100012"/>
        <s v="ORD25120143"/>
        <s v="ORD25110139"/>
        <s v="ORD25110236"/>
        <s v="ORD25080196"/>
        <s v="ORD25110068"/>
        <s v="ORD25110198"/>
        <s v="ORD25070083"/>
        <s v="ORD25120069"/>
        <s v="ORD25120281"/>
        <s v="ORD25090074"/>
        <s v="ORD25090043"/>
        <s v="ORD25080282"/>
        <s v="ORD25080166"/>
        <s v="ORD25090008"/>
        <s v="ORD25080131"/>
        <s v="ORD25080278"/>
        <s v="ORD25120238"/>
        <s v="ORD25110020"/>
        <s v="ORD25110173"/>
        <s v="ORD25100122"/>
        <s v="ORD25070285"/>
        <s v="ORD25120137"/>
        <s v="ORD25110201"/>
        <s v="ORD25080085"/>
        <s v="ORD25080227"/>
        <s v="ORD25120114"/>
        <s v="ORD25080044"/>
        <s v="ORD25120190"/>
        <s v="ORD25070223"/>
        <s v="ORD25070270"/>
        <s v="ORD25110217"/>
        <s v="ORD25110212"/>
        <s v="ORD25110036"/>
        <s v="ORD25120112"/>
        <s v="ORD25080034"/>
        <s v="ORD25120174"/>
        <s v="ORD25080001"/>
        <s v="ORD25100233"/>
        <s v="ORD25100136"/>
        <s v="ORD25080264"/>
        <s v="ORD25080203"/>
        <s v="ORD25070263"/>
        <s v="ORD25120071"/>
        <s v="ORD25120271"/>
        <s v="ORD25080191"/>
        <s v="ORD25110258"/>
        <s v="ORD25100011"/>
        <s v="ORD25120294"/>
        <s v="ORD25100019"/>
        <s v="ORD25080292"/>
        <s v="ORD25080049"/>
        <s v="ORD25090219"/>
        <s v="ORD25100067"/>
        <s v="ORD25070042"/>
        <s v="ORD25080300"/>
        <s v="ORD25100140"/>
        <s v="ORD25070077"/>
        <s v="ORD25100095"/>
        <s v="ORD25080086"/>
        <s v="ORD25080186"/>
        <s v="ORD25110290"/>
        <s v="ORD25090097"/>
        <s v="ORD25080224"/>
        <s v="ORD25080162"/>
        <s v="ORD25100119"/>
        <s v="ORD25110088"/>
        <s v="ORD25120259"/>
        <s v="ORD25100103"/>
        <s v="ORD25090284"/>
        <s v="ORD25090065"/>
        <s v="ORD25090165"/>
        <s v="ORD25090211"/>
        <s v="ORD25080161"/>
        <s v="ORD25070092"/>
        <s v="ORD25090200"/>
        <s v="ORD25090295"/>
        <s v="ORD25090204"/>
        <s v="ORD25070015"/>
        <s v="ORD25100113"/>
        <s v="ORD25070296"/>
        <s v="ORD25100229"/>
        <s v="ORD25120266"/>
        <s v="ORD25080035"/>
        <s v="ORD25080225"/>
        <s v="ORD25080210"/>
        <s v="ORD25080177"/>
        <s v="ORD25090244"/>
        <s v="ORD25090051"/>
        <s v="ORD25080171"/>
        <s v="ORD25120170"/>
        <s v="ORD25080148"/>
        <s v="ORD25120111"/>
        <s v="ORD25080062"/>
        <s v="ORD25110179"/>
        <s v="ORD25070158"/>
        <s v="ORD25070195"/>
        <s v="ORD25070231"/>
        <s v="ORD25120047"/>
        <s v="ORD25120245"/>
        <s v="ORD25100241"/>
        <s v="ORD25080144"/>
        <s v="ORD25090115"/>
        <s v="ORD25100248"/>
        <s v="ORD25090287"/>
        <s v="ORD25090109"/>
        <s v="ORD25110220"/>
        <s v="ORD25120002"/>
        <s v="ORD25070041"/>
        <s v="ORD25100025"/>
        <s v="ORD25070262"/>
        <s v="ORD25090240"/>
        <s v="ORD25080145"/>
        <s v="ORD25100129"/>
        <s v="ORD25120187"/>
        <s v="ORD25070053"/>
        <s v="ORD25110246"/>
        <s v="ORD25090261"/>
        <s v="ORD25100064"/>
        <s v="ORD25100183"/>
        <s v="ORD25070293"/>
        <s v="ORD25070206"/>
        <s v="ORD25090059"/>
        <s v="ORD25100142"/>
        <s v="ORD25070050"/>
        <s v="ORD25090209"/>
        <s v="ORD25070138"/>
        <s v="ORD25120120"/>
        <s v="ORD25110276"/>
        <s v="ORD25080228"/>
        <s v="ORD25080130"/>
        <s v="ORD25080215"/>
        <s v="ORD25070275"/>
        <s v="ORD25100013"/>
        <s v="ORD25110121"/>
        <s v="ORD25120235"/>
        <s v="ORD25080188"/>
        <s v="ORD25090239"/>
        <s v="ORD25100222"/>
        <s v="ORD25090118"/>
        <s v="ORD25070249"/>
        <s v="ORD25120242"/>
        <s v="ORD25110251"/>
        <s v="ORD25100297"/>
        <s v="ORD25120060"/>
        <s v="ORD25090023"/>
        <s v="ORD25120066"/>
        <s v="ORD25120126"/>
        <s v="ORD25110252"/>
        <s v="ORD25120057"/>
        <s v="ORD25080127"/>
        <m/>
      </sharedItems>
    </cacheField>
    <cacheField name="Customer_ID" numFmtId="0">
      <sharedItems containsBlank="1">
        <s v="CUST1020"/>
        <s v="CUST1121"/>
        <s v="CUST1021"/>
        <s v="CUST1306"/>
        <s v="CUST1233"/>
        <s v="CUST1100"/>
        <s v="CUST1292"/>
        <s v="CUST1186"/>
        <s v="CUST1264"/>
        <s v="CUST1330"/>
        <s v="CUST1178"/>
        <s v="CUST1209"/>
        <s v="CUST1311"/>
        <s v="CUST1285"/>
        <s v="CUST1347"/>
        <s v="CUST1335"/>
        <s v="CUST1080"/>
        <s v="CUST1046"/>
        <s v="CUST1144"/>
        <s v="CUST1364"/>
        <s v="CUST1303"/>
        <s v="CUST1055"/>
        <s v="CUST1312"/>
        <s v="CUST1214"/>
        <s v="CUST1235"/>
        <s v="CUST1022"/>
        <s v="CUST1159"/>
        <s v="CUST1265"/>
        <s v="CUST1030"/>
        <s v="CUST1014"/>
        <s v="CUST1249"/>
        <s v="CUST1222"/>
        <s v="CUST1168"/>
        <s v="CUST1104"/>
        <s v="CUST1372"/>
        <s v="CUST1182"/>
        <s v="CUST1304"/>
        <s v="CUST1381"/>
        <s v="CUST1206"/>
        <s v="CUST1003"/>
        <s v="CUST1202"/>
        <s v="CUST1323"/>
        <s v="CUST1371"/>
        <s v="CUST1017"/>
        <s v="CUST1283"/>
        <s v="CUST1134"/>
        <s v="CUST1188"/>
        <s v="CUST1034"/>
        <s v="CUST1341"/>
        <s v="CUST1351"/>
        <s v="CUST1061"/>
        <s v="CUST1132"/>
        <s v="CUST1205"/>
        <s v="CUST1081"/>
        <s v="CUST1108"/>
        <s v="CUST1396"/>
        <s v="CUST1079"/>
        <s v="CUST1322"/>
        <s v="CUST1039"/>
        <s v="CUST1029"/>
        <s v="CUST1015"/>
        <s v="CUST1307"/>
        <s v="CUST1276"/>
        <s v="CUST1085"/>
        <s v="CUST1318"/>
        <s v="CUST1315"/>
        <s v="CUST1388"/>
        <s v="CUST1378"/>
        <s v="CUST1099"/>
        <s v="CUST1281"/>
        <s v="CUST1035"/>
        <s v="CUST1151"/>
        <s v="CUST1299"/>
        <s v="CUST1362"/>
        <s v="CUST1337"/>
        <s v="CUST1394"/>
        <s v="CUST1069"/>
        <s v="CUST1087"/>
        <s v="CUST1288"/>
        <s v="CUST1294"/>
        <s v="CUST1122"/>
        <s v="CUST1280"/>
        <s v="CUST1268"/>
        <s v="CUST1173"/>
        <s v="CUST1072"/>
        <s v="CUST1332"/>
        <s v="CUST1344"/>
        <s v="CUST1274"/>
        <s v="CUST1314"/>
        <s v="CUST1130"/>
        <s v="CUST1059"/>
        <s v="CUST1326"/>
        <s v="CUST1032"/>
        <s v="CUST1298"/>
        <s v="CUST1062"/>
        <s v="CUST1261"/>
        <s v="CUST1308"/>
        <s v="CUST1227"/>
        <s v="CUST1124"/>
        <s v="CUST1201"/>
        <s v="CUST1216"/>
        <s v="CUST1074"/>
        <s v="CUST1018"/>
        <s v="CUST1084"/>
        <s v="CUST1248"/>
        <s v="CUST1240"/>
        <s v="CUST1153"/>
        <s v="CUST1189"/>
        <s v="CUST1252"/>
        <s v="CUST1016"/>
        <s v="CUST1086"/>
        <s v="CUST1321"/>
        <s v="CUST1217"/>
        <s v="CUST1379"/>
        <s v="CUST1019"/>
        <s v="CUST1365"/>
        <s v="CUST1251"/>
        <s v="CUST1049"/>
        <s v="CUST1207"/>
        <s v="CUST1043"/>
        <s v="CUST1272"/>
        <s v="CUST1102"/>
        <s v="CUST1387"/>
        <s v="CUST1119"/>
        <s v="CUST1310"/>
        <s v="CUST1215"/>
        <s v="CUST1349"/>
        <s v="CUST1356"/>
        <s v="CUST1399"/>
        <s v="CUST1225"/>
        <s v="CUST1320"/>
        <s v="CUST1300"/>
        <s v="CUST1253"/>
        <s v="CUST1008"/>
        <s v="CUST1004"/>
        <s v="CUST1305"/>
        <s v="CUST1137"/>
        <s v="CUST1271"/>
        <s v="CUST1184"/>
        <s v="CUST1392"/>
        <s v="CUST1368"/>
        <s v="CUST1256"/>
        <s v="CUST1053"/>
        <s v="CUST1397"/>
        <s v="CUST1250"/>
        <s v="CUST1167"/>
        <s v="CUST1340"/>
        <s v="CUST1212"/>
        <s v="CUST1355"/>
        <s v="CUST1336"/>
        <s v="CUST1006"/>
        <s v="CUST1097"/>
        <s v="CUST1196"/>
        <s v="CUST1291"/>
        <s v="CUST1174"/>
        <s v="CUST1088"/>
        <s v="CUST1339"/>
        <s v="CUST1333"/>
        <s v="CUST1198"/>
        <s v="CUST1044"/>
        <s v="CUST1210"/>
        <s v="CUST1325"/>
        <s v="CUST1161"/>
        <s v="CUST1026"/>
        <s v="CUST1023"/>
        <s v="CUST1038"/>
        <s v="CUST1089"/>
        <s v="CUST1112"/>
        <s v="CUST1363"/>
        <s v="CUST1346"/>
        <s v="CUST1180"/>
        <s v="CUST1183"/>
        <s v="CUST1273"/>
        <s v="CUST1092"/>
        <s v="CUST1275"/>
        <s v="CUST1247"/>
        <s v="CUST1166"/>
        <s v="CUST1163"/>
        <s v="CUST1367"/>
        <s v="CUST1116"/>
        <s v="CUST1352"/>
        <s v="CUST1011"/>
        <s v="CUST1270"/>
        <s v="CUST1200"/>
        <s v="CUST1169"/>
        <s v="CUST1263"/>
        <s v="CUST1377"/>
        <s v="CUST1139"/>
        <s v="CUST1342"/>
        <s v="CUST1123"/>
        <s v="CUST1024"/>
        <s v="CUST1158"/>
        <s v="CUST1260"/>
        <s v="CUST1148"/>
        <s v="CUST1066"/>
        <s v="CUST1052"/>
        <s v="CUST1313"/>
        <s v="CUST1025"/>
        <s v="CUST1197"/>
        <s v="CUST1193"/>
        <s v="CUST1125"/>
        <s v="CUST1064"/>
        <s v="CUST1278"/>
        <s v="CUST1309"/>
        <s v="CUST1234"/>
        <s v="CUST1358"/>
        <s v="CUST1149"/>
        <s v="CUST1243"/>
        <s v="CUST1114"/>
        <s v="CUST1103"/>
        <s v="CUST1111"/>
        <m/>
      </sharedItems>
    </cacheField>
    <cacheField name="Order_Date" numFmtId="165">
      <sharedItems containsDate="1" containsString="0" containsBlank="1"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4T00:00:00Z"/>
        <d v="2026-05-15T00:00:00Z"/>
        <d v="2026-05-16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m/>
      </sharedItems>
    </cacheField>
    <cacheField name="Region" numFmtId="0">
      <sharedItems containsBlank="1">
        <s v="East"/>
        <s v="North"/>
        <s v="South"/>
        <s v="West"/>
        <m/>
      </sharedItems>
    </cacheField>
    <cacheField name="City" numFmtId="0">
      <sharedItems containsBlank="1">
        <s v="Kolkata"/>
        <s v="Gurgaon"/>
        <s v="Chennai"/>
        <s v="Madurai"/>
        <s v="Pune"/>
        <s v="Ahmedabad"/>
        <s v="Jaipur"/>
        <s v="Mumbai"/>
        <s v="Patna"/>
        <s v="Coimbatore"/>
        <s v="Guwahati"/>
        <s v="Salem"/>
        <s v="Surat"/>
        <s v="Bhubaneswar"/>
        <s v="Noida"/>
        <s v="Delhi"/>
        <m/>
      </sharedItems>
    </cacheField>
    <cacheField name="Category" numFmtId="0">
      <sharedItems containsBlank="1">
        <s v="Home"/>
        <s v="Fashion"/>
        <s v="Beauty"/>
        <s v="Electronics"/>
        <s v="Sports"/>
        <s v="Grocery"/>
        <m/>
      </sharedItems>
    </cacheField>
    <cacheField name="Quantity" numFmtId="0">
      <sharedItems containsString="0" containsBlank="1" containsNumber="1" containsInteger="1">
        <n v="2.0"/>
        <n v="1.0"/>
        <n v="4.0"/>
        <n v="3.0"/>
        <n v="5.0"/>
        <n v="6.0"/>
        <n v="7.0"/>
        <m/>
      </sharedItems>
    </cacheField>
    <cacheField name="Unit_Price" numFmtId="0">
      <sharedItems containsString="0" containsBlank="1" containsNumber="1" containsInteger="1">
        <n v="249.0"/>
        <n v="149.0"/>
        <n v="999.0"/>
        <n v="1999.0"/>
        <n v="499.0"/>
        <n v="49.0"/>
        <n v="99.0"/>
        <n v="1499.0"/>
        <n v="699.0"/>
        <n v="199.0"/>
        <n v="299.0"/>
        <m/>
      </sharedItems>
    </cacheField>
    <cacheField name="Discount" numFmtId="0">
      <sharedItems containsString="0" containsBlank="1" containsNumber="1">
        <n v="0.23"/>
        <n v="0.16"/>
        <n v="0.26"/>
        <n v="0.14"/>
        <n v="0.2"/>
        <n v="0.05"/>
        <n v="0.25"/>
        <n v="0.07"/>
        <n v="0.15"/>
        <n v="0.17"/>
        <n v="0.28"/>
        <n v="0.0"/>
        <n v="0.01"/>
        <n v="0.12"/>
        <n v="0.09"/>
        <n v="0.18"/>
        <n v="0.03"/>
        <n v="0.13"/>
        <n v="0.08"/>
        <n v="0.21"/>
        <n v="0.02"/>
        <n v="0.19"/>
        <n v="0.11"/>
        <n v="0.06"/>
        <n v="0.1"/>
        <n v="0.24"/>
        <n v="0.04"/>
        <n v="0.33"/>
        <n v="0.29"/>
        <n v="0.22"/>
        <n v="0.27"/>
        <n v="0.3"/>
        <m/>
      </sharedItems>
    </cacheField>
    <cacheField name="Total_Amount" numFmtId="0">
      <sharedItems containsString="0" containsBlank="1" containsNumber="1">
        <n v="383.46"/>
        <n v="125.16"/>
        <n v="2957.04"/>
        <n v="6876.56"/>
        <n v="119.2"/>
        <n v="236.55"/>
        <n v="749.25"/>
        <n v="464.07"/>
        <n v="41.65"/>
        <n v="164.34"/>
        <n v="85.14"/>
        <n v="859.14"/>
        <n v="105.84"/>
        <n v="4497.0"/>
        <n v="98.01"/>
        <n v="596.0"/>
        <n v="87.12"/>
        <n v="360.36"/>
        <n v="573.18"/>
        <n v="192.06"/>
        <n v="499.0"/>
        <n v="222.95"/>
        <n v="1639.18"/>
        <n v="2607.39"/>
        <n v="1596.8"/>
        <n v="3078.46"/>
        <n v="180.32"/>
        <n v="471.63"/>
        <n v="592.02"/>
        <n v="419.16"/>
        <n v="260.13"/>
        <n v="508.3"/>
        <n v="293.02"/>
        <n v="3518.24"/>
        <n v="275.08"/>
        <n v="2638.24"/>
        <n v="49.0"/>
        <n v="566.19"/>
        <n v="568.1"/>
        <n v="1638.36"/>
        <n v="414.17"/>
        <n v="1779.11"/>
        <n v="298.0"/>
        <n v="3516.48"/>
        <n v="514.28"/>
        <n v="271.18"/>
        <n v="214.14"/>
        <n v="158.4"/>
        <n v="1095.6"/>
        <n v="248.17"/>
        <n v="161.19"/>
        <n v="1170.3"/>
        <n v="254.15"/>
        <n v="1334.11"/>
        <n v="1160.34"/>
        <n v="178.36"/>
        <n v="4092.27"/>
        <n v="786.05"/>
        <n v="2637.36"/>
        <n v="1499.0"/>
        <n v="454.09"/>
        <n v="196.71"/>
        <n v="4917.54"/>
        <n v="948.1"/>
        <n v="1289.14"/>
        <n v="1304.13"/>
        <n v="1699.15"/>
        <n v="1739.13"/>
        <n v="906.36"/>
        <n v="1798.2"/>
        <n v="4796.8"/>
        <n v="1405.3"/>
        <n v="262.24"/>
        <n v="1362.27"/>
        <n v="149.25"/>
        <n v="182.16"/>
        <n v="3878.06"/>
        <n v="151.24"/>
        <n v="1698.3"/>
        <n v="443.22"/>
        <n v="789.21"/>
        <n v="449.1"/>
        <n v="676.6"/>
        <n v="142.59"/>
        <n v="177.11"/>
        <n v="143.04"/>
        <n v="1398.0"/>
        <n v="1799.1"/>
        <n v="86.13"/>
        <n v="762.45"/>
        <n v="46.06"/>
        <n v="544.18"/>
        <n v="928.14"/>
        <n v="1188.3"/>
        <n v="2677.32"/>
        <n v="3998.0"/>
        <n v="80.19"/>
        <n v="274.16"/>
        <n v="2727.27"/>
        <n v="221.61"/>
        <n v="4395.6"/>
        <n v="5516.32"/>
        <n v="137.08"/>
        <n v="1679.16"/>
        <n v="191.04"/>
        <n v="324.72"/>
        <n v="399.2"/>
        <n v="175.12"/>
        <n v="2664.66"/>
        <n v="587.16"/>
        <n v="379.95"/>
        <n v="474.05"/>
        <n v="230.23"/>
        <n v="679.77"/>
        <n v="633.25"/>
        <n v="1836.32"/>
        <n v="671.04"/>
        <n v="1392.21"/>
        <n v="299.0"/>
        <n v="980.72"/>
        <n v="1156.19"/>
        <n v="622.11"/>
        <n v="82.32"/>
        <n v="184.14"/>
        <n v="354.29"/>
        <n v="2578.28"/>
        <n v="687.24"/>
        <n v="998.0"/>
        <n v="1999.0"/>
        <n v="685.02"/>
        <n v="236.21"/>
        <n v="394.02"/>
        <n v="147.26"/>
        <n v="89.1"/>
        <n v="1196.0"/>
        <n v="628.84"/>
        <n v="99.0"/>
        <n v="415.71"/>
        <n v="209.16"/>
        <n v="605.07"/>
        <n v="439.12"/>
        <n v="495.0"/>
        <n v="45.57"/>
        <n v="477.6"/>
        <n v="732.06"/>
        <n v="2516.4"/>
        <n v="2935.8"/>
        <n v="75.46"/>
        <n v="909.09"/>
        <n v="132.61"/>
        <n v="300.96"/>
        <n v="255.42"/>
        <n v="156.42"/>
        <n v="1859.07"/>
        <n v="958.08"/>
        <n v="42.63"/>
        <n v="229.08"/>
        <n v="798.33"/>
        <n v="221.26"/>
        <n v="1174.32"/>
        <n v="184.26"/>
        <n v="2997.0"/>
        <n v="398.0"/>
        <n v="1556.88"/>
        <n v="484.38"/>
        <n v="493.02"/>
        <n v="250.32"/>
        <n v="39.69"/>
        <n v="165.17"/>
        <n v="7996.0"/>
        <n v="6716.64"/>
        <n v="2847.15"/>
        <n v="1896.2"/>
        <n v="3076.92"/>
        <n v="249.0"/>
        <n v="1300.14"/>
        <n v="45.08"/>
        <n v="1349.1"/>
        <n v="3478.26"/>
        <n v="5937.03"/>
        <n v="134.1"/>
        <n v="197.01"/>
        <n v="219.12"/>
        <n v="3145.5"/>
        <n v="1469.02"/>
        <n v="1439.28"/>
        <n v="120.54"/>
        <n v="724.36"/>
        <n v="270.27"/>
        <n v="434.13"/>
        <n v="3956.04"/>
        <n v="97.02"/>
        <n v="350.24"/>
        <n v="495.51"/>
        <n v="545.31"/>
        <n v="98.49"/>
        <n v="926.28"/>
        <n v="78.21"/>
        <n v="186.12"/>
        <n v="194.22"/>
        <n v="2337.66"/>
        <n v="352.44"/>
        <n v="2878.08"/>
        <n v="74.25"/>
        <n v="83.16"/>
        <n v="190.08"/>
        <n v="1112.28"/>
        <n v="678.03"/>
        <n v="518.52"/>
        <n v="1876.24"/>
        <n v="889.11"/>
        <n v="1658.34"/>
        <n v="699.0"/>
        <n v="282.15"/>
        <n v="388.44"/>
        <n v="1839.08"/>
        <n v="199.0"/>
        <n v="417.9"/>
        <n v="5837.08"/>
        <n v="404.19"/>
        <n v="91.08"/>
        <n v="252.45"/>
        <n v="39.2"/>
        <n v="1146.36"/>
        <n v="580.17"/>
        <n v="126.65"/>
        <n v="129.63"/>
        <n v="908.18"/>
        <n v="246.51"/>
        <n v="11514.24"/>
        <n v="181.09"/>
        <n v="144.53"/>
        <n v="543.27"/>
        <n v="147.0"/>
        <n v="502.32"/>
        <n v="816.27"/>
        <n v="2697.3"/>
        <n v="268.2"/>
        <n v="3687.54"/>
        <n v="409.18"/>
        <n v="157.21"/>
        <n v="1230.24"/>
        <n v="478.4"/>
        <n v="498.0"/>
        <n v="5036.64"/>
        <n v="546.48"/>
        <n v="2120.75"/>
        <n v="310.44"/>
        <n v="579.09"/>
        <n v="94.05"/>
        <n v="1738.26"/>
        <n v="919.08"/>
        <n v="47.53"/>
        <n v="42.14"/>
        <n v="1458.54"/>
        <n v="258.39"/>
        <n v="1124.25"/>
        <n v="936.24"/>
        <n v="488.72"/>
        <n v="526.24"/>
        <n v="550.16"/>
        <n v="2335.32"/>
        <n v="2548.3"/>
        <n v="166.32"/>
        <n v="1579.21"/>
        <m/>
      </sharedItems>
    </cacheField>
    <cacheField name="Payment_Method" numFmtId="0">
      <sharedItems containsBlank="1">
        <s v="Cash"/>
        <s v="UPI"/>
        <s v="Card"/>
        <s v="NetBanking"/>
        <m/>
      </sharedItems>
    </cacheField>
    <cacheField name="Rating" numFmtId="0">
      <sharedItems containsString="0" containsBlank="1" containsNumber="1">
        <n v="5.0"/>
        <n v="2.5"/>
        <n v="3.9"/>
        <n v="3.3"/>
        <n v="3.5"/>
        <n v="4.1"/>
        <n v="4.7"/>
        <n v="4.9"/>
        <n v="4.4"/>
        <n v="4.0"/>
        <n v="4.5"/>
        <n v="3.2"/>
        <n v="3.6"/>
        <n v="4.8"/>
        <n v="3.7"/>
        <n v="4.2"/>
        <n v="3.4"/>
        <n v="4.6"/>
        <n v="4.3"/>
        <n v="3.0"/>
        <n v="3.1"/>
        <n v="2.8"/>
        <n v="3.8"/>
        <n v="2.4"/>
        <n v="2.9"/>
        <n v="2.7"/>
        <m/>
      </sharedItems>
    </cacheField>
    <cacheField name="Delivery_Time_Min" numFmtId="0">
      <sharedItems containsString="0" containsBlank="1" containsNumber="1" containsInteger="1">
        <n v="26.0"/>
        <n v="31.0"/>
        <n v="28.0"/>
        <n v="39.0"/>
        <n v="34.0"/>
        <n v="41.0"/>
        <n v="24.0"/>
        <n v="42.0"/>
        <n v="44.0"/>
        <n v="32.0"/>
        <n v="43.0"/>
        <n v="46.0"/>
        <n v="67.0"/>
        <n v="36.0"/>
        <n v="33.0"/>
        <n v="48.0"/>
        <n v="40.0"/>
        <n v="37.0"/>
        <n v="50.0"/>
        <n v="17.0"/>
        <n v="30.0"/>
        <n v="29.0"/>
        <n v="57.0"/>
        <n v="49.0"/>
        <n v="53.0"/>
        <n v="27.0"/>
        <n v="20.0"/>
        <n v="21.0"/>
        <n v="35.0"/>
        <n v="22.0"/>
        <n v="45.0"/>
        <n v="51.0"/>
        <n v="23.0"/>
        <n v="18.0"/>
        <n v="38.0"/>
        <n v="25.0"/>
        <n v="54.0"/>
        <n v="59.0"/>
        <n v="47.0"/>
        <n v="58.0"/>
        <n v="19.0"/>
        <n v="56.0"/>
        <n v="52.0"/>
        <m/>
      </sharedItems>
    </cacheField>
    <cacheField name="Returned" numFmtId="0">
      <sharedItems containsBlank="1">
        <s v="No"/>
        <s v="Yes"/>
        <m/>
      </sharedItems>
    </cacheField>
    <cacheField name="Column 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306" sheet="Day1_Retail_Orders_Dataset.csv"/>
  </cacheSource>
  <cacheFields>
    <cacheField name="Order_ID" numFmtId="0">
      <sharedItems>
        <s v="ORD25100082"/>
        <s v="ORD25070039"/>
        <s v="ORD25120014"/>
        <s v="ORD25110102"/>
        <s v="ORD25120237"/>
        <s v="ORD25070189"/>
        <s v="ORD25100054"/>
        <s v="ORD25080101"/>
        <s v="ORD25070031"/>
        <s v="ORD25080268"/>
        <s v="ORD25070250"/>
        <s v="ORD25110153"/>
        <s v="ORD25090277"/>
        <s v="ORD25120132"/>
        <s v="ORD25120005"/>
        <s v="ORD25080180"/>
        <s v="ORD25110038"/>
        <s v="ORD25080150"/>
        <s v="ORD25090234"/>
        <s v="ORD25110061"/>
        <s v="ORD25100063"/>
        <s v="ORD25090099"/>
        <s v="ORD25100169"/>
        <s v="ORD25110045"/>
        <s v="ORD25080274"/>
        <s v="ORD25070072"/>
        <s v="ORD25110181"/>
        <s v="ORD25100291"/>
        <s v="ORD25120040"/>
        <s v="ORD25080032"/>
        <s v="ORD25110218"/>
        <s v="ORD25120016"/>
        <s v="ORD25120194"/>
        <s v="ORD25070289"/>
        <s v="ORD25120125"/>
        <s v="ORD25100226"/>
        <s v="ORD25090052"/>
        <s v="ORD25070107"/>
        <s v="ORD25120058"/>
        <s v="ORD25110213"/>
        <s v="ORD25110168"/>
        <s v="ORD25110022"/>
        <s v="ORD25090255"/>
        <s v="ORD25120272"/>
        <s v="ORD25090269"/>
        <s v="ORD25090018"/>
        <s v="ORD25100286"/>
        <s v="ORD25120256"/>
        <s v="ORD25090146"/>
        <s v="ORD25120192"/>
        <s v="ORD25120084"/>
        <s v="ORD25080172"/>
        <s v="ORD25110073"/>
        <s v="ORD25120216"/>
        <s v="ORD25080247"/>
        <s v="ORD25090100"/>
        <s v="ORD25080298"/>
        <s v="ORD25110106"/>
        <s v="ORD25120207"/>
        <s v="ORD25080033"/>
        <s v="ORD25070070"/>
        <s v="ORD25120151"/>
        <s v="ORD25120193"/>
        <s v="ORD25090110"/>
        <s v="ORD25080159"/>
        <s v="ORD25110232"/>
        <s v="ORD25070134"/>
        <s v="ORD25090288"/>
        <s v="ORD25090091"/>
        <s v="ORD25120055"/>
        <s v="ORD25080089"/>
        <s v="ORD25110030"/>
        <s v="ORD25080096"/>
        <s v="ORD25110265"/>
        <s v="ORD25070147"/>
        <s v="ORD25070253"/>
        <s v="ORD25100267"/>
        <s v="ORD25070006"/>
        <s v="ORD25070197"/>
        <s v="ORD25090123"/>
        <s v="ORD25100027"/>
        <s v="ORD25120184"/>
        <s v="ORD25080090"/>
        <s v="ORD25090076"/>
        <s v="ORD25100279"/>
        <s v="ORD25090283"/>
        <s v="ORD25110230"/>
        <s v="ORD25100116"/>
        <s v="ORD25080078"/>
        <s v="ORD25120081"/>
        <s v="ORD25120079"/>
        <s v="ORD25070105"/>
        <s v="ORD25080009"/>
        <s v="ORD25110046"/>
        <s v="ORD25080214"/>
        <s v="ORD25080007"/>
        <s v="ORD25120028"/>
        <s v="ORD25110004"/>
        <s v="ORD25090155"/>
        <s v="ORD25110104"/>
        <s v="ORD25070021"/>
        <s v="ORD25090176"/>
        <s v="ORD25110202"/>
        <s v="ORD25090017"/>
        <s v="ORD25100128"/>
        <s v="ORD25090280"/>
        <s v="ORD25090164"/>
        <s v="ORD25090149"/>
        <s v="ORD25070175"/>
        <s v="ORD25110037"/>
        <s v="ORD25120024"/>
        <s v="ORD25110299"/>
        <s v="ORD25070124"/>
        <s v="ORD25080205"/>
        <s v="ORD25120003"/>
        <s v="ORD25070010"/>
        <s v="ORD25100185"/>
        <s v="ORD25080075"/>
        <s v="ORD25080208"/>
        <s v="ORD25090141"/>
        <s v="ORD25080221"/>
        <s v="ORD25110163"/>
        <s v="ORD25090135"/>
        <s v="ORD25090254"/>
        <s v="ORD25100094"/>
        <s v="ORD25070178"/>
        <s v="ORD25090133"/>
        <s v="ORD25100160"/>
        <s v="ORD25110157"/>
        <s v="ORD25120093"/>
        <s v="ORD25120167"/>
        <s v="ORD25080257"/>
        <s v="ORD25110117"/>
        <s v="ORD25070243"/>
        <s v="ORD25120152"/>
        <s v="ORD25120156"/>
        <s v="ORD25120087"/>
        <s v="ORD25080273"/>
        <s v="ORD25120182"/>
        <s v="ORD25110029"/>
        <s v="ORD25120056"/>
        <s v="ORD25120048"/>
        <s v="ORD25090199"/>
        <s v="ORD25090108"/>
        <s v="ORD25090260"/>
        <s v="ORD25110026"/>
        <s v="ORD25110098"/>
        <s v="ORD25080154"/>
        <s v="ORD25090080"/>
        <s v="ORD25100012"/>
        <s v="ORD25120143"/>
        <s v="ORD25110139"/>
        <s v="ORD25110236"/>
        <s v="ORD25080196"/>
        <s v="ORD25110068"/>
        <s v="ORD25110198"/>
        <s v="ORD25070083"/>
        <s v="ORD25120069"/>
        <s v="ORD25120281"/>
        <s v="ORD25090074"/>
        <s v="ORD25090043"/>
        <s v="ORD25080282"/>
        <s v="ORD25080166"/>
        <s v="ORD25090008"/>
        <s v="ORD25080131"/>
        <s v="ORD25080278"/>
        <s v="ORD25120238"/>
        <s v="ORD25110020"/>
        <s v="ORD25110173"/>
        <s v="ORD25100122"/>
        <s v="ORD25070285"/>
        <s v="ORD25120137"/>
        <s v="ORD25110201"/>
        <s v="ORD25080085"/>
        <s v="ORD25080227"/>
        <s v="ORD25120114"/>
        <s v="ORD25080044"/>
        <s v="ORD25120190"/>
        <s v="ORD25070223"/>
        <s v="ORD25070270"/>
        <s v="ORD25110217"/>
        <s v="ORD25110212"/>
        <s v="ORD25110036"/>
        <s v="ORD25120112"/>
        <s v="ORD25080034"/>
        <s v="ORD25120174"/>
        <s v="ORD25080001"/>
        <s v="ORD25100233"/>
        <s v="ORD25100136"/>
        <s v="ORD25080264"/>
        <s v="ORD25080203"/>
        <s v="ORD25070263"/>
        <s v="ORD25120071"/>
        <s v="ORD25120271"/>
        <s v="ORD25080191"/>
        <s v="ORD25110258"/>
        <s v="ORD25100011"/>
        <s v="ORD25120294"/>
        <s v="ORD25100019"/>
        <s v="ORD25080292"/>
        <s v="ORD25080049"/>
        <s v="ORD25090219"/>
        <s v="ORD25100067"/>
        <s v="ORD25070042"/>
        <s v="ORD25080300"/>
        <s v="ORD25100140"/>
        <s v="ORD25070077"/>
        <s v="ORD25100095"/>
        <s v="ORD25080086"/>
        <s v="ORD25080186"/>
        <s v="ORD25110290"/>
        <s v="ORD25090097"/>
        <s v="ORD25080224"/>
        <s v="ORD25080162"/>
        <s v="ORD25100119"/>
        <s v="ORD25110088"/>
        <s v="ORD25120259"/>
        <s v="ORD25100103"/>
        <s v="ORD25090284"/>
        <s v="ORD25090065"/>
        <s v="ORD25090165"/>
        <s v="ORD25090211"/>
        <s v="ORD25080161"/>
        <s v="ORD25070092"/>
        <s v="ORD25090200"/>
        <s v="ORD25090295"/>
        <s v="ORD25090204"/>
        <s v="ORD25070015"/>
        <s v="ORD25100113"/>
        <s v="ORD25070296"/>
        <s v="ORD25100229"/>
        <s v="ORD25120266"/>
        <s v="ORD25080035"/>
        <s v="ORD25080225"/>
        <s v="ORD25080210"/>
        <s v="ORD25080177"/>
        <s v="ORD25090244"/>
        <s v="ORD25090051"/>
        <s v="ORD25080171"/>
        <s v="ORD25120170"/>
        <s v="ORD25080148"/>
        <s v="ORD25120111"/>
        <s v="ORD25080062"/>
        <s v="ORD25110179"/>
        <s v="ORD25070158"/>
        <s v="ORD25070195"/>
        <s v="ORD25070231"/>
        <s v="ORD25120047"/>
        <s v="ORD25120245"/>
        <s v="ORD25100241"/>
        <s v="ORD25080144"/>
        <s v="ORD25090115"/>
        <s v="ORD25100248"/>
        <s v="ORD25090287"/>
        <s v="ORD25090109"/>
        <s v="ORD25110220"/>
        <s v="ORD25120002"/>
        <s v="ORD25070041"/>
        <s v="ORD25100025"/>
        <s v="ORD25070262"/>
        <s v="ORD25090240"/>
        <s v="ORD25080145"/>
        <s v="ORD25100129"/>
        <s v="ORD25120187"/>
        <s v="ORD25070053"/>
        <s v="ORD25110246"/>
        <s v="ORD25090261"/>
        <s v="ORD25100064"/>
        <s v="ORD25100183"/>
        <s v="ORD25070293"/>
        <s v="ORD25070206"/>
        <s v="ORD25090059"/>
        <s v="ORD25100142"/>
        <s v="ORD25070050"/>
        <s v="ORD25090209"/>
        <s v="ORD25070138"/>
        <s v="ORD25120120"/>
        <s v="ORD25110276"/>
        <s v="ORD25080228"/>
        <s v="ORD25080130"/>
        <s v="ORD25080215"/>
        <s v="ORD25070275"/>
        <s v="ORD25100013"/>
        <s v="ORD25110121"/>
        <s v="ORD25120235"/>
        <s v="ORD25080188"/>
        <s v="ORD25090239"/>
        <s v="ORD25100222"/>
        <s v="ORD25090118"/>
        <s v="ORD25070249"/>
        <s v="ORD25120242"/>
        <s v="ORD25110251"/>
        <s v="ORD25100297"/>
        <s v="ORD25120060"/>
        <s v="ORD25090023"/>
        <s v="ORD25120066"/>
        <s v="ORD25120126"/>
        <s v="ORD25110252"/>
        <s v="ORD25120057"/>
        <s v="ORD25080127"/>
      </sharedItems>
    </cacheField>
    <cacheField name="Customer_ID" numFmtId="0">
      <sharedItems>
        <s v="CUST1020"/>
        <s v="CUST1121"/>
        <s v="CUST1021"/>
        <s v="CUST1306"/>
        <s v="CUST1233"/>
        <s v="CUST1100"/>
        <s v="CUST1292"/>
        <s v="CUST1186"/>
        <s v="CUST1264"/>
        <s v="CUST1330"/>
        <s v="CUST1178"/>
        <s v="CUST1209"/>
        <s v="CUST1311"/>
        <s v="CUST1285"/>
        <s v="CUST1347"/>
        <s v="CUST1335"/>
        <s v="CUST1080"/>
        <s v="CUST1046"/>
        <s v="CUST1144"/>
        <s v="CUST1364"/>
        <s v="CUST1303"/>
        <s v="CUST1055"/>
        <s v="CUST1312"/>
        <s v="CUST1214"/>
        <s v="CUST1235"/>
        <s v="CUST1022"/>
        <s v="CUST1159"/>
        <s v="CUST1265"/>
        <s v="CUST1030"/>
        <s v="CUST1014"/>
        <s v="CUST1249"/>
        <s v="CUST1222"/>
        <s v="CUST1168"/>
        <s v="CUST1104"/>
        <s v="CUST1372"/>
        <s v="CUST1182"/>
        <s v="CUST1304"/>
        <s v="CUST1381"/>
        <s v="CUST1206"/>
        <s v="CUST1003"/>
        <s v="CUST1202"/>
        <s v="CUST1323"/>
        <s v="CUST1371"/>
        <s v="CUST1017"/>
        <s v="CUST1283"/>
        <s v="CUST1134"/>
        <s v="CUST1188"/>
        <s v="CUST1034"/>
        <s v="CUST1341"/>
        <s v="CUST1351"/>
        <s v="CUST1061"/>
        <s v="CUST1132"/>
        <s v="CUST1205"/>
        <s v="CUST1081"/>
        <s v="CUST1108"/>
        <s v="CUST1396"/>
        <s v="CUST1079"/>
        <s v="CUST1322"/>
        <s v="CUST1039"/>
        <s v="CUST1029"/>
        <s v="CUST1015"/>
        <s v="CUST1307"/>
        <s v="CUST1276"/>
        <s v="CUST1085"/>
        <s v="CUST1318"/>
        <s v="CUST1315"/>
        <s v="CUST1388"/>
        <s v="CUST1378"/>
        <s v="CUST1099"/>
        <s v="CUST1281"/>
        <s v="CUST1035"/>
        <s v="CUST1151"/>
        <s v="CUST1299"/>
        <s v="CUST1362"/>
        <s v="CUST1337"/>
        <s v="CUST1394"/>
        <s v="CUST1069"/>
        <s v="CUST1087"/>
        <s v="CUST1288"/>
        <s v="CUST1294"/>
        <s v="CUST1122"/>
        <s v="CUST1280"/>
        <s v="CUST1268"/>
        <s v="CUST1173"/>
        <s v="CUST1072"/>
        <s v="CUST1332"/>
        <s v="CUST1344"/>
        <s v="CUST1274"/>
        <s v="CUST1314"/>
        <s v="CUST1130"/>
        <s v="CUST1059"/>
        <s v="CUST1326"/>
        <s v="CUST1032"/>
        <s v="CUST1298"/>
        <s v="CUST1062"/>
        <s v="CUST1261"/>
        <s v="CUST1308"/>
        <s v="CUST1227"/>
        <s v="CUST1124"/>
        <s v="CUST1201"/>
        <s v="CUST1216"/>
        <s v="CUST1074"/>
        <s v="CUST1018"/>
        <s v="CUST1084"/>
        <s v="CUST1248"/>
        <s v="CUST1240"/>
        <s v="CUST1153"/>
        <s v="CUST1189"/>
        <s v="CUST1252"/>
        <s v="CUST1016"/>
        <s v="CUST1086"/>
        <s v="CUST1321"/>
        <s v="CUST1217"/>
        <s v="CUST1379"/>
        <s v="CUST1019"/>
        <s v="CUST1365"/>
        <s v="CUST1251"/>
        <s v="CUST1049"/>
        <s v="CUST1207"/>
        <s v="CUST1043"/>
        <s v="CUST1272"/>
        <s v="CUST1102"/>
        <s v="CUST1387"/>
        <s v="CUST1119"/>
        <s v="CUST1310"/>
        <s v="CUST1215"/>
        <s v="CUST1349"/>
        <s v="CUST1356"/>
        <s v="CUST1399"/>
        <s v="CUST1225"/>
        <s v="CUST1320"/>
        <s v="CUST1300"/>
        <s v="CUST1253"/>
        <s v="CUST1008"/>
        <s v="CUST1004"/>
        <s v="CUST1305"/>
        <s v="CUST1137"/>
        <s v="CUST1271"/>
        <s v="CUST1184"/>
        <s v="CUST1392"/>
        <s v="CUST1368"/>
        <s v="CUST1256"/>
        <s v="CUST1053"/>
        <s v="CUST1397"/>
        <s v="CUST1250"/>
        <s v="CUST1167"/>
        <s v="CUST1340"/>
        <s v="CUST1212"/>
        <s v="CUST1355"/>
        <s v="CUST1336"/>
        <s v="CUST1006"/>
        <s v="CUST1097"/>
        <s v="CUST1196"/>
        <s v="CUST1291"/>
        <s v="CUST1174"/>
        <s v="CUST1088"/>
        <s v="CUST1339"/>
        <s v="CUST1333"/>
        <s v="CUST1198"/>
        <s v="CUST1044"/>
        <s v="CUST1210"/>
        <s v="CUST1325"/>
        <s v="CUST1161"/>
        <s v="CUST1026"/>
        <s v="CUST1023"/>
        <s v="CUST1038"/>
        <s v="CUST1089"/>
        <s v="CUST1112"/>
        <s v="CUST1363"/>
        <s v="CUST1346"/>
        <s v="CUST1180"/>
        <s v="CUST1183"/>
        <s v="CUST1273"/>
        <s v="CUST1092"/>
        <s v="CUST1275"/>
        <s v="CUST1247"/>
        <s v="CUST1166"/>
        <s v="CUST1163"/>
        <s v="CUST1367"/>
        <s v="CUST1116"/>
        <s v="CUST1352"/>
        <s v="CUST1011"/>
        <s v="CUST1270"/>
        <s v="CUST1200"/>
        <s v="CUST1169"/>
        <s v="CUST1263"/>
        <s v="CUST1377"/>
        <s v="CUST1139"/>
        <s v="CUST1342"/>
        <s v="CUST1123"/>
        <s v="CUST1024"/>
        <s v="CUST1158"/>
        <s v="CUST1260"/>
        <s v="CUST1148"/>
        <s v="CUST1066"/>
        <s v="CUST1052"/>
        <s v="CUST1313"/>
        <s v="CUST1025"/>
        <s v="CUST1197"/>
        <s v="CUST1193"/>
        <s v="CUST1125"/>
        <s v="CUST1064"/>
        <s v="CUST1278"/>
        <s v="CUST1309"/>
        <s v="CUST1234"/>
        <s v="CUST1358"/>
        <s v="CUST1149"/>
        <s v="CUST1243"/>
        <s v="CUST1114"/>
        <s v="CUST1103"/>
        <s v="CUST1111"/>
      </sharedItems>
    </cacheField>
    <cacheField name="Order_Date" numFmtId="164">
      <sharedItems containsSemiMixedTypes="0" containsDate="1" containsString="0">
        <d v="2025-10-01T00:00:00Z"/>
        <d v="2025-07-19T00:00:00Z"/>
        <d v="2025-12-19T00:00:00Z"/>
        <d v="2025-11-12T00:00:00Z"/>
        <d v="2025-12-13T00:00:00Z"/>
        <d v="2025-07-12T00:00:00Z"/>
        <d v="2025-10-26T00:00:00Z"/>
        <d v="2025-08-25T00:00:00Z"/>
        <d v="2025-07-05T00:00:00Z"/>
        <d v="2025-07-14T00:00:00Z"/>
        <d v="2025-09-12T00:00:00Z"/>
        <d v="2025-12-02T00:00:00Z"/>
        <d v="2025-12-31T00:00:00Z"/>
        <d v="2025-08-09T00:00:00Z"/>
        <d v="2025-11-15T00:00:00Z"/>
        <d v="2025-08-04T00:00:00Z"/>
        <d v="2025-09-06T00:00:00Z"/>
        <d v="2025-11-11T00:00:00Z"/>
        <d v="2025-10-02T00:00:00Z"/>
        <d v="2025-09-15T00:00:00Z"/>
        <d v="2025-10-21T00:00:00Z"/>
        <d v="2025-11-22T00:00:00Z"/>
        <d v="2025-08-01T00:00:00Z"/>
        <d v="2025-07-06T00:00:00Z"/>
        <d v="2025-11-20T00:00:00Z"/>
        <d v="2025-10-15T00:00:00Z"/>
        <d v="2025-12-23T00:00:00Z"/>
        <d v="2025-08-12T00:00:00Z"/>
        <d v="2025-11-03T00:00:00Z"/>
        <d v="2025-07-08T00:00:00Z"/>
        <d v="2025-12-26T00:00:00Z"/>
        <d v="2025-10-09T00:00:00Z"/>
        <d v="2025-11-27T00:00:00Z"/>
        <d v="2025-11-14T00:00:00Z"/>
        <d v="2025-09-27T00:00:00Z"/>
        <d v="2025-09-08T00:00:00Z"/>
        <d v="2025-09-21T00:00:00Z"/>
        <d v="2025-10-16T00:00:00Z"/>
        <d v="2025-12-24T00:00:00Z"/>
        <d v="2025-08-28T00:00:00Z"/>
        <d v="2025-12-01T00:00:00Z"/>
        <d v="2025-08-10T00:00:00Z"/>
        <d v="2025-09-26T00:00:00Z"/>
        <d v="2025-08-24T00:00:00Z"/>
        <d v="2025-11-05T00:00:00Z"/>
        <d v="2025-08-17T00:00:00Z"/>
        <d v="2025-07-24T00:00:00Z"/>
        <d v="2025-12-17T00:00:00Z"/>
        <d v="2025-12-06T00:00:00Z"/>
        <d v="2025-09-22T00:00:00Z"/>
        <d v="2025-07-10T00:00:00Z"/>
        <d v="2025-09-09T00:00:00Z"/>
        <d v="2025-11-29T00:00:00Z"/>
        <d v="2025-11-13T00:00:00Z"/>
        <d v="2025-07-28T00:00:00Z"/>
        <d v="2025-07-11T00:00:00Z"/>
        <d v="2025-07-20T00:00:00Z"/>
        <d v="2025-07-18T00:00:00Z"/>
        <d v="2025-09-17T00:00:00Z"/>
        <d v="2025-12-08T00:00:00Z"/>
        <d v="2025-08-14T00:00:00Z"/>
        <d v="2025-10-14T00:00:00Z"/>
        <d v="2025-10-04T00:00:00Z"/>
        <d v="2025-12-28T00:00:00Z"/>
        <d v="2025-12-29T00:00:00Z"/>
        <d v="2025-07-17T00:00:00Z"/>
        <d v="2025-08-26T00:00:00Z"/>
        <d v="2025-11-09T00:00:00Z"/>
        <d v="2025-08-13T00:00:00Z"/>
        <d v="2025-09-24T00:00:00Z"/>
        <d v="2025-11-02T00:00:00Z"/>
        <d v="2025-07-31T00:00:00Z"/>
        <d v="2025-10-30T00:00:00Z"/>
        <d v="2025-09-02T00:00:00Z"/>
        <d v="2025-11-24T00:00:00Z"/>
        <d v="2025-07-26T00:00:00Z"/>
        <d v="2025-10-12T00:00:00Z"/>
        <d v="2025-08-18T00:00:00Z"/>
        <d v="2025-09-07T00:00:00Z"/>
        <d v="2025-11-04T00:00:00Z"/>
        <d v="2025-07-22T00:00:00Z"/>
        <d v="2025-12-20T00:00:00Z"/>
        <d v="2025-12-12T00:00:00Z"/>
        <d v="2025-12-03T00:00:00Z"/>
        <d v="2025-08-19T00:00:00Z"/>
        <d v="2025-09-11T00:00:00Z"/>
        <d v="2025-12-30T00:00:00Z"/>
        <d v="2025-11-21T00:00:00Z"/>
        <d v="2025-09-28T00:00:00Z"/>
        <d v="2025-09-30T00:00:00Z"/>
        <d v="2025-08-21T00:00:00Z"/>
        <d v="2025-08-15T00:00:00Z"/>
        <d v="2025-12-05T00:00:00Z"/>
        <d v="2025-11-01T00:00:00Z"/>
        <d v="2025-10-31T00:00:00Z"/>
        <d v="2025-12-18T00:00:00Z"/>
        <d v="2025-12-07T00:00:00Z"/>
        <d v="2025-11-06T00:00:00Z"/>
        <d v="2025-10-05T00:00:00Z"/>
        <d v="2025-07-01T00:00:00Z"/>
        <d v="2025-12-15T00:00:00Z"/>
        <d v="2025-08-31T00:00:00Z"/>
        <d v="2025-12-04T00:00:00Z"/>
        <d v="2025-08-03T00:00:00Z"/>
        <d v="2025-08-06T00:00:00Z"/>
        <d v="2025-09-14T00:00:00Z"/>
        <d v="2025-10-25T00:00:00Z"/>
        <d v="2025-08-11T00:00:00Z"/>
        <d v="2025-08-29T00:00:00Z"/>
        <d v="2025-08-05T00:00:00Z"/>
        <d v="2025-08-02T00:00:00Z"/>
        <d v="2025-10-22T00:00:00Z"/>
        <d v="2025-10-03T00:00:00Z"/>
        <d v="2025-09-18T00:00:00Z"/>
        <d v="2025-10-28T00:00:00Z"/>
        <d v="2025-07-13T00:00:00Z"/>
        <d v="2025-12-10T00:00:00Z"/>
        <d v="2025-09-03T00:00:00Z"/>
        <d v="2025-08-16T00:00:00Z"/>
        <d v="2025-10-27T00:00:00Z"/>
        <d v="2025-07-30T00:00:00Z"/>
        <d v="2025-12-14T00:00:00Z"/>
        <d v="2025-10-19T00:00:00Z"/>
        <d v="2025-11-28T00:00:00Z"/>
        <d v="2025-08-08T00:00:00Z"/>
        <d v="2025-12-09T00:00:00Z"/>
        <d v="2025-10-06T00:00:00Z"/>
      </sharedItems>
    </cacheField>
    <cacheField name="Region" numFmtId="0">
      <sharedItems>
        <s v="East"/>
        <s v="North"/>
        <s v="South"/>
        <s v="West"/>
      </sharedItems>
    </cacheField>
    <cacheField name="City" numFmtId="0">
      <sharedItems containsBlank="1">
        <s v="Kolkata"/>
        <s v="Gurgaon"/>
        <s v="Chennai"/>
        <s v="Madurai"/>
        <s v="Pune"/>
        <s v="Ahmedabad"/>
        <s v="Jaipur"/>
        <s v="Mumbai"/>
        <s v="Patna"/>
        <s v="Coimbatore"/>
        <s v="Guwahati"/>
        <s v="Salem"/>
        <s v="Surat"/>
        <s v="Bhubaneswar"/>
        <s v="Noida"/>
        <s v="Delhi"/>
        <m/>
      </sharedItems>
    </cacheField>
    <cacheField name="Category" numFmtId="0">
      <sharedItems>
        <s v="Home"/>
        <s v="Fashion"/>
        <s v="Beauty"/>
        <s v="Electronics"/>
        <s v="Sports"/>
        <s v="Grocery"/>
      </sharedItems>
    </cacheField>
    <cacheField name="Quantity" numFmtId="0">
      <sharedItems containsSemiMixedTypes="0" containsString="0" containsNumber="1" containsInteger="1">
        <n v="2.0"/>
        <n v="1.0"/>
        <n v="4.0"/>
        <n v="3.0"/>
        <n v="5.0"/>
        <n v="6.0"/>
        <n v="7.0"/>
      </sharedItems>
    </cacheField>
    <cacheField name="Unit_Price" numFmtId="0">
      <sharedItems containsSemiMixedTypes="0" containsString="0" containsNumber="1" containsInteger="1">
        <n v="249.0"/>
        <n v="149.0"/>
        <n v="999.0"/>
        <n v="1999.0"/>
        <n v="499.0"/>
        <n v="49.0"/>
        <n v="99.0"/>
        <n v="1499.0"/>
        <n v="699.0"/>
        <n v="199.0"/>
        <n v="299.0"/>
      </sharedItems>
    </cacheField>
    <cacheField name="Discount" numFmtId="0">
      <sharedItems containsSemiMixedTypes="0" containsString="0" containsNumber="1">
        <n v="0.23"/>
        <n v="0.16"/>
        <n v="0.26"/>
        <n v="0.14"/>
        <n v="0.2"/>
        <n v="0.05"/>
        <n v="0.25"/>
        <n v="0.07"/>
        <n v="0.15"/>
        <n v="0.17"/>
        <n v="0.28"/>
        <n v="0.0"/>
        <n v="0.01"/>
        <n v="0.12"/>
        <n v="0.09"/>
        <n v="0.18"/>
        <n v="0.03"/>
        <n v="0.13"/>
        <n v="0.08"/>
        <n v="0.21"/>
        <n v="0.02"/>
        <n v="0.19"/>
        <n v="0.11"/>
        <n v="0.06"/>
        <n v="0.1"/>
        <n v="0.24"/>
        <n v="0.04"/>
        <n v="0.33"/>
        <n v="0.29"/>
        <n v="0.22"/>
        <n v="0.27"/>
        <n v="0.3"/>
      </sharedItems>
    </cacheField>
    <cacheField name="Total_Amount" numFmtId="0">
      <sharedItems containsSemiMixedTypes="0" containsString="0" containsNumber="1">
        <n v="383.46"/>
        <n v="125.16"/>
        <n v="2957.04"/>
        <n v="6876.56"/>
        <n v="119.2"/>
        <n v="236.55"/>
        <n v="749.25"/>
        <n v="464.07"/>
        <n v="41.65"/>
        <n v="164.34"/>
        <n v="85.14"/>
        <n v="859.14"/>
        <n v="105.84"/>
        <n v="4497.0"/>
        <n v="98.01"/>
        <n v="596.0"/>
        <n v="87.12"/>
        <n v="360.36"/>
        <n v="573.18"/>
        <n v="192.06"/>
        <n v="499.0"/>
        <n v="222.95"/>
        <n v="1639.18"/>
        <n v="2607.39"/>
        <n v="1596.8"/>
        <n v="3078.46"/>
        <n v="180.32"/>
        <n v="471.63"/>
        <n v="592.02"/>
        <n v="419.16"/>
        <n v="260.13"/>
        <n v="508.3"/>
        <n v="293.02"/>
        <n v="3518.24"/>
        <n v="275.08"/>
        <n v="2638.24"/>
        <n v="49.0"/>
        <n v="566.19"/>
        <n v="568.1"/>
        <n v="1638.36"/>
        <n v="414.17"/>
        <n v="1779.11"/>
        <n v="298.0"/>
        <n v="3516.48"/>
        <n v="514.28"/>
        <n v="271.18"/>
        <n v="214.14"/>
        <n v="158.4"/>
        <n v="1095.6"/>
        <n v="248.17"/>
        <n v="161.19"/>
        <n v="1170.3"/>
        <n v="254.15"/>
        <n v="1334.11"/>
        <n v="1160.34"/>
        <n v="178.36"/>
        <n v="4092.27"/>
        <n v="786.05"/>
        <n v="2637.36"/>
        <n v="1499.0"/>
        <n v="454.09"/>
        <n v="196.71"/>
        <n v="4917.54"/>
        <n v="948.1"/>
        <n v="1289.14"/>
        <n v="1304.13"/>
        <n v="1699.15"/>
        <n v="1739.13"/>
        <n v="906.36"/>
        <n v="1798.2"/>
        <n v="4796.8"/>
        <n v="1405.3"/>
        <n v="262.24"/>
        <n v="1362.27"/>
        <n v="149.25"/>
        <n v="182.16"/>
        <n v="3878.06"/>
        <n v="151.24"/>
        <n v="1698.3"/>
        <n v="443.22"/>
        <n v="789.21"/>
        <n v="449.1"/>
        <n v="676.6"/>
        <n v="142.59"/>
        <n v="177.11"/>
        <n v="143.04"/>
        <n v="1398.0"/>
        <n v="1799.1"/>
        <n v="86.13"/>
        <n v="762.45"/>
        <n v="46.06"/>
        <n v="544.18"/>
        <n v="928.14"/>
        <n v="1188.3"/>
        <n v="2677.32"/>
        <n v="3998.0"/>
        <n v="80.19"/>
        <n v="274.16"/>
        <n v="2727.27"/>
        <n v="221.61"/>
        <n v="4395.6"/>
        <n v="5516.32"/>
        <n v="137.08"/>
        <n v="1679.16"/>
        <n v="191.04"/>
        <n v="324.72"/>
        <n v="399.2"/>
        <n v="175.12"/>
        <n v="2664.66"/>
        <n v="587.16"/>
        <n v="379.95"/>
        <n v="474.05"/>
        <n v="230.23"/>
        <n v="679.77"/>
        <n v="633.25"/>
        <n v="1836.32"/>
        <n v="671.04"/>
        <n v="1392.21"/>
        <n v="299.0"/>
        <n v="980.72"/>
        <n v="1156.19"/>
        <n v="622.11"/>
        <n v="82.32"/>
        <n v="184.14"/>
        <n v="354.29"/>
        <n v="2578.28"/>
        <n v="687.24"/>
        <n v="998.0"/>
        <n v="1999.0"/>
        <n v="685.02"/>
        <n v="236.21"/>
        <n v="394.02"/>
        <n v="147.26"/>
        <n v="89.1"/>
        <n v="1196.0"/>
        <n v="628.84"/>
        <n v="99.0"/>
        <n v="415.71"/>
        <n v="209.16"/>
        <n v="605.07"/>
        <n v="439.12"/>
        <n v="495.0"/>
        <n v="45.57"/>
        <n v="477.6"/>
        <n v="732.06"/>
        <n v="2516.4"/>
        <n v="2935.8"/>
        <n v="75.46"/>
        <n v="909.09"/>
        <n v="132.61"/>
        <n v="300.96"/>
        <n v="255.42"/>
        <n v="156.42"/>
        <n v="1859.07"/>
        <n v="958.08"/>
        <n v="42.63"/>
        <n v="229.08"/>
        <n v="798.33"/>
        <n v="221.26"/>
        <n v="1174.32"/>
        <n v="184.26"/>
        <n v="2997.0"/>
        <n v="398.0"/>
        <n v="1556.88"/>
        <n v="484.38"/>
        <n v="493.02"/>
        <n v="250.32"/>
        <n v="39.69"/>
        <n v="165.17"/>
        <n v="7996.0"/>
        <n v="6716.64"/>
        <n v="2847.15"/>
        <n v="1896.2"/>
        <n v="3076.92"/>
        <n v="249.0"/>
        <n v="1300.14"/>
        <n v="45.08"/>
        <n v="1349.1"/>
        <n v="3478.26"/>
        <n v="5937.03"/>
        <n v="134.1"/>
        <n v="197.01"/>
        <n v="219.12"/>
        <n v="3145.5"/>
        <n v="1469.02"/>
        <n v="1439.28"/>
        <n v="120.54"/>
        <n v="724.36"/>
        <n v="270.27"/>
        <n v="434.13"/>
        <n v="3956.04"/>
        <n v="97.02"/>
        <n v="350.24"/>
        <n v="495.51"/>
        <n v="545.31"/>
        <n v="98.49"/>
        <n v="926.28"/>
        <n v="78.21"/>
        <n v="186.12"/>
        <n v="194.22"/>
        <n v="2337.66"/>
        <n v="352.44"/>
        <n v="2878.08"/>
        <n v="74.25"/>
        <n v="83.16"/>
        <n v="190.08"/>
        <n v="1112.28"/>
        <n v="678.03"/>
        <n v="518.52"/>
        <n v="1876.24"/>
        <n v="889.11"/>
        <n v="1658.34"/>
        <n v="699.0"/>
        <n v="282.15"/>
        <n v="388.44"/>
        <n v="1839.08"/>
        <n v="199.0"/>
        <n v="417.9"/>
        <n v="5837.08"/>
        <n v="404.19"/>
        <n v="91.08"/>
        <n v="252.45"/>
        <n v="39.2"/>
        <n v="1146.36"/>
        <n v="580.17"/>
        <n v="126.65"/>
        <n v="129.63"/>
        <n v="908.18"/>
        <n v="246.51"/>
        <n v="11514.24"/>
        <n v="181.09"/>
        <n v="144.53"/>
        <n v="543.27"/>
        <n v="147.0"/>
        <n v="502.32"/>
        <n v="816.27"/>
        <n v="2697.3"/>
        <n v="268.2"/>
        <n v="3687.54"/>
        <n v="409.18"/>
        <n v="157.21"/>
        <n v="1230.24"/>
        <n v="478.4"/>
        <n v="498.0"/>
        <n v="5036.64"/>
        <n v="546.48"/>
        <n v="2120.75"/>
        <n v="310.44"/>
        <n v="579.09"/>
        <n v="94.05"/>
        <n v="1738.26"/>
        <n v="919.08"/>
        <n v="47.53"/>
        <n v="42.14"/>
        <n v="1458.54"/>
        <n v="258.39"/>
        <n v="1124.25"/>
        <n v="936.24"/>
        <n v="488.72"/>
        <n v="526.24"/>
        <n v="550.16"/>
        <n v="2335.32"/>
        <n v="2548.3"/>
        <n v="166.32"/>
        <n v="1579.21"/>
      </sharedItems>
    </cacheField>
    <cacheField name="Payment_Method" numFmtId="0">
      <sharedItems containsBlank="1">
        <s v="Cash"/>
        <s v="UPI"/>
        <s v="Card"/>
        <s v="NetBanking"/>
        <m/>
      </sharedItems>
    </cacheField>
    <cacheField name="Rating" numFmtId="0">
      <sharedItems containsString="0" containsBlank="1" containsNumber="1">
        <n v="5.0"/>
        <n v="2.5"/>
        <n v="3.9"/>
        <n v="3.3"/>
        <n v="3.5"/>
        <m/>
        <n v="4.7"/>
        <n v="4.9"/>
        <n v="4.4"/>
        <n v="4.0"/>
        <n v="4.5"/>
        <n v="3.2"/>
        <n v="3.6"/>
        <n v="4.8"/>
        <n v="3.7"/>
        <n v="4.2"/>
        <n v="4.1"/>
        <n v="3.4"/>
        <n v="4.6"/>
        <n v="4.3"/>
        <n v="3.0"/>
        <n v="3.1"/>
        <n v="2.8"/>
        <n v="3.8"/>
        <n v="2.4"/>
        <n v="2.9"/>
        <n v="2.7"/>
      </sharedItems>
    </cacheField>
    <cacheField name="Delivery_Time_Min" numFmtId="0">
      <sharedItems containsSemiMixedTypes="0" containsString="0" containsNumber="1" containsInteger="1">
        <n v="26.0"/>
        <n v="31.0"/>
        <n v="28.0"/>
        <n v="39.0"/>
        <n v="34.0"/>
        <n v="41.0"/>
        <n v="24.0"/>
        <n v="42.0"/>
        <n v="44.0"/>
        <n v="32.0"/>
        <n v="43.0"/>
        <n v="46.0"/>
        <n v="67.0"/>
        <n v="36.0"/>
        <n v="33.0"/>
        <n v="48.0"/>
        <n v="40.0"/>
        <n v="37.0"/>
        <n v="50.0"/>
        <n v="17.0"/>
        <n v="30.0"/>
        <n v="29.0"/>
        <n v="57.0"/>
        <n v="49.0"/>
        <n v="53.0"/>
        <n v="27.0"/>
        <n v="20.0"/>
        <n v="21.0"/>
        <n v="35.0"/>
        <n v="22.0"/>
        <n v="45.0"/>
        <n v="51.0"/>
        <n v="23.0"/>
        <n v="18.0"/>
        <n v="38.0"/>
        <n v="25.0"/>
        <n v="54.0"/>
        <n v="59.0"/>
        <n v="47.0"/>
        <n v="58.0"/>
        <n v="19.0"/>
        <n v="56.0"/>
        <n v="52.0"/>
      </sharedItems>
    </cacheField>
    <cacheField name="Returned" numFmtId="0">
      <sharedItems>
        <s v="No"/>
        <s v="Yes"/>
      </sharedItems>
    </cacheField>
    <cacheField name=" " numFmtId="0">
      <sharedItems containsString="0" containsBlank="1" containsNumber="1">
        <m/>
        <n v="4.11003344481605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iscount of category" cacheId="0" dataCaption="" compact="0" compactData="0">
  <location ref="A1:B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axis="axisRow" compact="0" outline="0" multipleItemSelectionAllowed="1" showAll="0" sortType="ascending">
      <items>
        <item x="6"/>
        <item x="2"/>
        <item x="3"/>
        <item x="1"/>
        <item x="5"/>
        <item x="0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livery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eturned" compact="0" outline="0" multipleItemSelectionAllowed="1" showAll="0">
      <items>
        <item x="0"/>
        <item x="1"/>
        <item x="2"/>
        <item t="default"/>
      </items>
    </pivotField>
    <pivotField name="Column 1" compact="0" outline="0" multipleItemSelectionAllowed="1" showAll="0">
      <items>
        <item x="0"/>
        <item t="default"/>
      </items>
    </pivotField>
  </pivotFields>
  <rowFields>
    <field x="5"/>
  </rowFields>
  <dataFields>
    <dataField name="SUM of Discount" fld="8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region wise sales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Region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livery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eturned" compact="0" outline="0" multipleItemSelectionAllowed="1" showAll="0">
      <items>
        <item x="0"/>
        <item x="1"/>
        <item x="2"/>
        <item t="default"/>
      </items>
    </pivotField>
    <pivotField name="Column 1" compact="0" outline="0" multipleItemSelectionAllowed="1" showAll="0">
      <items>
        <item x="0"/>
        <item t="default"/>
      </items>
    </pivotField>
  </pivotFields>
  <rowFields>
    <field x="3"/>
  </rowFields>
  <dataFields>
    <dataField name="SUM of Quantity" fld="6" baseField="0"/>
  </dataFields>
</pivotTableDefinition>
</file>

<file path=xl/pivotTables/pivotTable3.xml><?xml version="1.0" encoding="utf-8"?>
<pivotTableDefinition xmlns="http://schemas.openxmlformats.org/spreadsheetml/2006/main" name="region wise revenue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Region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livery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eturned" compact="0" outline="0" multipleItemSelectionAllowed="1" showAll="0">
      <items>
        <item x="0"/>
        <item x="1"/>
        <item x="2"/>
        <item t="default"/>
      </items>
    </pivotField>
    <pivotField name="Column 1" compact="0" outline="0" multipleItemSelectionAllowed="1" showAll="0">
      <items>
        <item x="0"/>
        <item t="default"/>
      </items>
    </pivotField>
  </pivotFields>
  <rowFields>
    <field x="3"/>
  </rowFields>
  <dataFields>
    <dataField name="SUM of Total_Amount" fld="9" baseField="0"/>
  </dataFields>
</pivotTableDefinition>
</file>

<file path=xl/pivotTables/pivotTable4.xml><?xml version="1.0" encoding="utf-8"?>
<pivotTableDefinition xmlns="http://schemas.openxmlformats.org/spreadsheetml/2006/main" name="total revenue by category" cacheId="1" dataCaption="" compact="0" compactData="0">
  <location ref="A1:B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axis="axisRow" compact="0" outline="0" multipleItemSelectionAllowed="1" showAll="0" sortType="ascending">
      <items>
        <item x="2"/>
        <item x="3"/>
        <item x="1"/>
        <item x="5"/>
        <item x="0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livery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turned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_Amount" fld="9" baseField="0"/>
  </dataFields>
</pivotTableDefinition>
</file>

<file path=xl/tables/table1.xml><?xml version="1.0" encoding="utf-8"?>
<table xmlns="http://schemas.openxmlformats.org/spreadsheetml/2006/main" ref="A1:O306" displayName="table_clean" name="table_clean" id="1">
  <autoFilter ref="$A$1:$O$306"/>
  <tableColumns count="15">
    <tableColumn name="Order_ID" id="1"/>
    <tableColumn name="Customer_ID" id="2"/>
    <tableColumn name="Order_Date" id="3"/>
    <tableColumn name="Region" id="4"/>
    <tableColumn name="City" id="5"/>
    <tableColumn name="Category" id="6"/>
    <tableColumn name="Quantity" id="7"/>
    <tableColumn name="Unit_Price" id="8"/>
    <tableColumn name="Discount" id="9"/>
    <tableColumn name="Total_Amount" id="10"/>
    <tableColumn name="Payment_Method" id="11"/>
    <tableColumn name="Rating" id="12"/>
    <tableColumn name="Delivery_Time_Min" id="13"/>
    <tableColumn name="Returned" id="14"/>
    <tableColumn name="Column 1" id="15"/>
  </tableColumns>
  <tableStyleInfo name="cleane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>
      <c r="A2" s="1" t="s">
        <v>15</v>
      </c>
      <c r="B2" s="1" t="s">
        <v>16</v>
      </c>
      <c r="C2" s="3">
        <v>45931.0</v>
      </c>
      <c r="D2" s="1" t="s">
        <v>17</v>
      </c>
      <c r="E2" s="1" t="s">
        <v>18</v>
      </c>
      <c r="F2" s="1" t="s">
        <v>19</v>
      </c>
      <c r="G2" s="1">
        <v>2.0</v>
      </c>
      <c r="H2" s="1">
        <v>249.0</v>
      </c>
      <c r="I2" s="1">
        <v>0.23</v>
      </c>
      <c r="J2" s="1">
        <v>383.46</v>
      </c>
      <c r="K2" s="1" t="s">
        <v>20</v>
      </c>
      <c r="L2" s="1">
        <v>5.0</v>
      </c>
      <c r="M2" s="1">
        <v>26.0</v>
      </c>
      <c r="N2" s="1" t="s">
        <v>21</v>
      </c>
    </row>
    <row r="3">
      <c r="A3" s="1" t="s">
        <v>22</v>
      </c>
      <c r="B3" s="1" t="s">
        <v>23</v>
      </c>
      <c r="C3" s="3">
        <v>45857.0</v>
      </c>
      <c r="D3" s="1" t="s">
        <v>24</v>
      </c>
      <c r="E3" s="1" t="s">
        <v>25</v>
      </c>
      <c r="F3" s="1" t="s">
        <v>26</v>
      </c>
      <c r="G3" s="1">
        <v>1.0</v>
      </c>
      <c r="H3" s="1">
        <v>149.0</v>
      </c>
      <c r="I3" s="1">
        <v>0.16</v>
      </c>
      <c r="J3" s="1">
        <v>125.16</v>
      </c>
      <c r="K3" s="1" t="s">
        <v>27</v>
      </c>
      <c r="L3" s="1">
        <v>2.5</v>
      </c>
      <c r="M3" s="1">
        <v>31.0</v>
      </c>
      <c r="N3" s="1" t="s">
        <v>21</v>
      </c>
      <c r="O3" s="2">
        <f>AVERAGE(L2:L306)</f>
        <v>4.110033445</v>
      </c>
    </row>
    <row r="4">
      <c r="A4" s="1" t="s">
        <v>28</v>
      </c>
      <c r="B4" s="1" t="s">
        <v>29</v>
      </c>
      <c r="C4" s="3">
        <v>46010.0</v>
      </c>
      <c r="D4" s="1" t="s">
        <v>30</v>
      </c>
      <c r="E4" s="1" t="s">
        <v>31</v>
      </c>
      <c r="F4" s="1" t="s">
        <v>32</v>
      </c>
      <c r="G4" s="1">
        <v>4.0</v>
      </c>
      <c r="H4" s="1">
        <v>999.0</v>
      </c>
      <c r="I4" s="1">
        <v>0.26</v>
      </c>
      <c r="J4" s="1">
        <v>2957.04</v>
      </c>
      <c r="K4" s="1" t="s">
        <v>33</v>
      </c>
      <c r="L4" s="1">
        <v>3.9</v>
      </c>
      <c r="M4" s="1">
        <v>28.0</v>
      </c>
      <c r="N4" s="1" t="s">
        <v>21</v>
      </c>
    </row>
    <row r="5">
      <c r="A5" s="1" t="s">
        <v>34</v>
      </c>
      <c r="B5" s="1" t="s">
        <v>35</v>
      </c>
      <c r="C5" s="3">
        <v>45973.0</v>
      </c>
      <c r="D5" s="1" t="s">
        <v>30</v>
      </c>
      <c r="E5" s="1" t="s">
        <v>36</v>
      </c>
      <c r="F5" s="1" t="s">
        <v>37</v>
      </c>
      <c r="G5" s="1">
        <v>4.0</v>
      </c>
      <c r="H5" s="1">
        <v>1999.0</v>
      </c>
      <c r="I5" s="1">
        <v>0.14</v>
      </c>
      <c r="J5" s="1">
        <v>6876.56</v>
      </c>
      <c r="K5" s="1" t="s">
        <v>27</v>
      </c>
      <c r="L5" s="1">
        <v>3.3</v>
      </c>
      <c r="M5" s="1">
        <v>39.0</v>
      </c>
      <c r="N5" s="1" t="s">
        <v>38</v>
      </c>
    </row>
    <row r="6">
      <c r="A6" s="1" t="s">
        <v>39</v>
      </c>
      <c r="B6" s="1" t="s">
        <v>40</v>
      </c>
      <c r="C6" s="3">
        <v>46004.0</v>
      </c>
      <c r="D6" s="1" t="s">
        <v>41</v>
      </c>
      <c r="E6" s="1" t="s">
        <v>42</v>
      </c>
      <c r="F6" s="1" t="s">
        <v>32</v>
      </c>
      <c r="G6" s="1">
        <v>1.0</v>
      </c>
      <c r="H6" s="1">
        <v>149.0</v>
      </c>
      <c r="I6" s="1">
        <v>0.2</v>
      </c>
      <c r="J6" s="1">
        <v>119.2</v>
      </c>
      <c r="K6" s="1" t="s">
        <v>33</v>
      </c>
      <c r="L6" s="1">
        <v>3.5</v>
      </c>
      <c r="M6" s="1">
        <v>34.0</v>
      </c>
      <c r="N6" s="1" t="s">
        <v>21</v>
      </c>
    </row>
    <row r="7">
      <c r="A7" s="1" t="s">
        <v>43</v>
      </c>
      <c r="B7" s="1" t="s">
        <v>44</v>
      </c>
      <c r="C7" s="3">
        <v>45850.0</v>
      </c>
      <c r="D7" s="1" t="s">
        <v>41</v>
      </c>
      <c r="E7" s="1" t="s">
        <v>45</v>
      </c>
      <c r="F7" s="1" t="s">
        <v>26</v>
      </c>
      <c r="G7" s="1">
        <v>1.0</v>
      </c>
      <c r="H7" s="1">
        <v>249.0</v>
      </c>
      <c r="I7" s="1">
        <v>0.05</v>
      </c>
      <c r="J7" s="1">
        <v>236.55</v>
      </c>
      <c r="K7" s="1" t="s">
        <v>27</v>
      </c>
      <c r="M7" s="1">
        <v>41.0</v>
      </c>
      <c r="N7" s="1" t="s">
        <v>21</v>
      </c>
    </row>
    <row r="8">
      <c r="A8" s="1" t="s">
        <v>46</v>
      </c>
      <c r="B8" s="1" t="s">
        <v>47</v>
      </c>
      <c r="C8" s="3">
        <v>45956.0</v>
      </c>
      <c r="D8" s="1" t="s">
        <v>24</v>
      </c>
      <c r="E8" s="1" t="s">
        <v>48</v>
      </c>
      <c r="F8" s="1" t="s">
        <v>26</v>
      </c>
      <c r="G8" s="1">
        <v>1.0</v>
      </c>
      <c r="H8" s="1">
        <v>999.0</v>
      </c>
      <c r="I8" s="1">
        <v>0.25</v>
      </c>
      <c r="J8" s="1">
        <v>749.25</v>
      </c>
      <c r="K8" s="1" t="s">
        <v>27</v>
      </c>
      <c r="L8" s="1">
        <v>4.7</v>
      </c>
      <c r="M8" s="1">
        <v>24.0</v>
      </c>
      <c r="N8" s="1" t="s">
        <v>38</v>
      </c>
    </row>
    <row r="9">
      <c r="A9" s="1" t="s">
        <v>49</v>
      </c>
      <c r="B9" s="1" t="s">
        <v>50</v>
      </c>
      <c r="C9" s="3">
        <v>45894.0</v>
      </c>
      <c r="D9" s="1" t="s">
        <v>24</v>
      </c>
      <c r="E9" s="1" t="s">
        <v>48</v>
      </c>
      <c r="F9" s="1" t="s">
        <v>32</v>
      </c>
      <c r="G9" s="1">
        <v>1.0</v>
      </c>
      <c r="H9" s="1">
        <v>499.0</v>
      </c>
      <c r="I9" s="1">
        <v>0.07</v>
      </c>
      <c r="J9" s="1">
        <v>464.07</v>
      </c>
      <c r="K9" s="1" t="s">
        <v>51</v>
      </c>
      <c r="L9" s="1">
        <v>4.9</v>
      </c>
      <c r="M9" s="1">
        <v>42.0</v>
      </c>
      <c r="N9" s="1" t="s">
        <v>21</v>
      </c>
    </row>
    <row r="10">
      <c r="A10" s="1" t="s">
        <v>52</v>
      </c>
      <c r="B10" s="1" t="s">
        <v>53</v>
      </c>
      <c r="C10" s="3">
        <v>45843.0</v>
      </c>
      <c r="D10" s="1" t="s">
        <v>41</v>
      </c>
      <c r="E10" s="1" t="s">
        <v>54</v>
      </c>
      <c r="F10" s="1" t="s">
        <v>26</v>
      </c>
      <c r="G10" s="1">
        <v>1.0</v>
      </c>
      <c r="H10" s="1">
        <v>49.0</v>
      </c>
      <c r="I10" s="1">
        <v>0.15</v>
      </c>
      <c r="J10" s="1">
        <v>41.65</v>
      </c>
      <c r="K10" s="1" t="s">
        <v>33</v>
      </c>
      <c r="L10" s="1">
        <v>4.4</v>
      </c>
      <c r="M10" s="1">
        <v>26.0</v>
      </c>
      <c r="N10" s="1" t="s">
        <v>21</v>
      </c>
    </row>
    <row r="11">
      <c r="A11" s="1" t="s">
        <v>55</v>
      </c>
      <c r="B11" s="1" t="s">
        <v>56</v>
      </c>
      <c r="C11" s="3">
        <v>45894.0</v>
      </c>
      <c r="D11" s="1" t="s">
        <v>24</v>
      </c>
      <c r="E11" s="1" t="s">
        <v>48</v>
      </c>
      <c r="F11" s="1" t="s">
        <v>57</v>
      </c>
      <c r="G11" s="1">
        <v>2.0</v>
      </c>
      <c r="H11" s="1">
        <v>99.0</v>
      </c>
      <c r="I11" s="1">
        <v>0.17</v>
      </c>
      <c r="J11" s="1">
        <v>164.34</v>
      </c>
      <c r="K11" s="1" t="s">
        <v>51</v>
      </c>
      <c r="L11" s="1">
        <v>4.0</v>
      </c>
      <c r="M11" s="1">
        <v>44.0</v>
      </c>
      <c r="N11" s="1" t="s">
        <v>21</v>
      </c>
    </row>
    <row r="12">
      <c r="A12" s="1" t="s">
        <v>58</v>
      </c>
      <c r="B12" s="1" t="s">
        <v>59</v>
      </c>
      <c r="C12" s="3">
        <v>45852.0</v>
      </c>
      <c r="D12" s="1" t="s">
        <v>17</v>
      </c>
      <c r="E12" s="1" t="s">
        <v>18</v>
      </c>
      <c r="F12" s="1" t="s">
        <v>32</v>
      </c>
      <c r="G12" s="1">
        <v>1.0</v>
      </c>
      <c r="H12" s="1">
        <v>99.0</v>
      </c>
      <c r="I12" s="1">
        <v>0.14</v>
      </c>
      <c r="J12" s="1">
        <v>85.14</v>
      </c>
      <c r="K12" s="1" t="s">
        <v>33</v>
      </c>
      <c r="L12" s="1">
        <v>4.5</v>
      </c>
      <c r="M12" s="1">
        <v>32.0</v>
      </c>
      <c r="N12" s="1" t="s">
        <v>21</v>
      </c>
    </row>
    <row r="13">
      <c r="A13" s="1" t="s">
        <v>60</v>
      </c>
      <c r="B13" s="1" t="s">
        <v>61</v>
      </c>
      <c r="C13" s="3">
        <v>45973.0</v>
      </c>
      <c r="D13" s="1" t="s">
        <v>30</v>
      </c>
      <c r="E13" s="1" t="s">
        <v>31</v>
      </c>
      <c r="F13" s="1" t="s">
        <v>26</v>
      </c>
      <c r="G13" s="1">
        <v>1.0</v>
      </c>
      <c r="H13" s="1">
        <v>999.0</v>
      </c>
      <c r="I13" s="1">
        <v>0.14</v>
      </c>
      <c r="J13" s="1">
        <v>859.14</v>
      </c>
      <c r="K13" s="1" t="s">
        <v>27</v>
      </c>
      <c r="L13" s="1">
        <v>4.7</v>
      </c>
      <c r="M13" s="1">
        <v>42.0</v>
      </c>
      <c r="N13" s="1" t="s">
        <v>21</v>
      </c>
    </row>
    <row r="14">
      <c r="A14" s="1" t="s">
        <v>62</v>
      </c>
      <c r="B14" s="1" t="s">
        <v>63</v>
      </c>
      <c r="C14" s="3">
        <v>45912.0</v>
      </c>
      <c r="D14" s="1" t="s">
        <v>17</v>
      </c>
      <c r="E14" s="1" t="s">
        <v>64</v>
      </c>
      <c r="F14" s="1" t="s">
        <v>65</v>
      </c>
      <c r="G14" s="1">
        <v>3.0</v>
      </c>
      <c r="H14" s="1">
        <v>49.0</v>
      </c>
      <c r="I14" s="1">
        <v>0.28</v>
      </c>
      <c r="J14" s="1">
        <v>105.84</v>
      </c>
      <c r="K14" s="1" t="s">
        <v>27</v>
      </c>
      <c r="L14" s="1">
        <v>3.2</v>
      </c>
      <c r="M14" s="1">
        <v>34.0</v>
      </c>
      <c r="N14" s="1" t="s">
        <v>21</v>
      </c>
    </row>
    <row r="15">
      <c r="A15" s="1" t="s">
        <v>66</v>
      </c>
      <c r="B15" s="1" t="s">
        <v>67</v>
      </c>
      <c r="C15" s="3">
        <v>45993.0</v>
      </c>
      <c r="D15" s="1" t="s">
        <v>24</v>
      </c>
      <c r="E15" s="1" t="s">
        <v>25</v>
      </c>
      <c r="F15" s="1" t="s">
        <v>19</v>
      </c>
      <c r="G15" s="1">
        <v>3.0</v>
      </c>
      <c r="H15" s="1">
        <v>1499.0</v>
      </c>
      <c r="I15" s="1">
        <v>0.0</v>
      </c>
      <c r="J15" s="1">
        <v>4497.0</v>
      </c>
      <c r="K15" s="1" t="s">
        <v>20</v>
      </c>
      <c r="L15" s="1">
        <v>4.4</v>
      </c>
      <c r="M15" s="1">
        <v>31.0</v>
      </c>
      <c r="N15" s="1" t="s">
        <v>21</v>
      </c>
    </row>
    <row r="16">
      <c r="A16" s="1" t="s">
        <v>68</v>
      </c>
      <c r="B16" s="1" t="s">
        <v>69</v>
      </c>
      <c r="C16" s="3">
        <v>46022.0</v>
      </c>
      <c r="D16" s="1" t="s">
        <v>30</v>
      </c>
      <c r="E16" s="1" t="s">
        <v>70</v>
      </c>
      <c r="F16" s="1" t="s">
        <v>57</v>
      </c>
      <c r="G16" s="1">
        <v>1.0</v>
      </c>
      <c r="H16" s="1">
        <v>99.0</v>
      </c>
      <c r="I16" s="1">
        <v>0.01</v>
      </c>
      <c r="J16" s="1">
        <v>98.01</v>
      </c>
      <c r="K16" s="1" t="s">
        <v>27</v>
      </c>
      <c r="L16" s="1">
        <v>4.7</v>
      </c>
      <c r="M16" s="1">
        <v>43.0</v>
      </c>
      <c r="N16" s="1" t="s">
        <v>21</v>
      </c>
    </row>
    <row r="17">
      <c r="A17" s="1" t="s">
        <v>71</v>
      </c>
      <c r="B17" s="1" t="s">
        <v>72</v>
      </c>
      <c r="C17" s="3">
        <v>45878.0</v>
      </c>
      <c r="D17" s="1" t="s">
        <v>30</v>
      </c>
      <c r="E17" s="1" t="s">
        <v>31</v>
      </c>
      <c r="F17" s="1" t="s">
        <v>37</v>
      </c>
      <c r="G17" s="1">
        <v>4.0</v>
      </c>
      <c r="H17" s="1">
        <v>149.0</v>
      </c>
      <c r="I17" s="1">
        <v>0.0</v>
      </c>
      <c r="J17" s="1">
        <v>596.0</v>
      </c>
      <c r="K17" s="1" t="s">
        <v>27</v>
      </c>
      <c r="L17" s="1">
        <v>4.4</v>
      </c>
      <c r="M17" s="1">
        <v>46.0</v>
      </c>
      <c r="N17" s="1" t="s">
        <v>21</v>
      </c>
    </row>
    <row r="18">
      <c r="A18" s="1" t="s">
        <v>73</v>
      </c>
      <c r="B18" s="1" t="s">
        <v>74</v>
      </c>
      <c r="C18" s="3">
        <v>45976.0</v>
      </c>
      <c r="D18" s="1" t="s">
        <v>17</v>
      </c>
      <c r="E18" s="1" t="s">
        <v>75</v>
      </c>
      <c r="F18" s="1" t="s">
        <v>19</v>
      </c>
      <c r="G18" s="1">
        <v>1.0</v>
      </c>
      <c r="H18" s="1">
        <v>99.0</v>
      </c>
      <c r="I18" s="1">
        <v>0.12</v>
      </c>
      <c r="J18" s="1">
        <v>87.12</v>
      </c>
      <c r="K18" s="1" t="s">
        <v>27</v>
      </c>
      <c r="L18" s="1">
        <v>4.0</v>
      </c>
      <c r="M18" s="1">
        <v>31.0</v>
      </c>
      <c r="N18" s="1" t="s">
        <v>21</v>
      </c>
    </row>
    <row r="19">
      <c r="A19" s="1" t="s">
        <v>76</v>
      </c>
      <c r="B19" s="1" t="s">
        <v>77</v>
      </c>
      <c r="C19" s="3">
        <v>45873.0</v>
      </c>
      <c r="D19" s="1" t="s">
        <v>30</v>
      </c>
      <c r="E19" s="1" t="s">
        <v>31</v>
      </c>
      <c r="F19" s="1" t="s">
        <v>19</v>
      </c>
      <c r="G19" s="1">
        <v>4.0</v>
      </c>
      <c r="H19" s="1">
        <v>99.0</v>
      </c>
      <c r="I19" s="1">
        <v>0.09</v>
      </c>
      <c r="J19" s="1">
        <v>360.36</v>
      </c>
      <c r="L19" s="1">
        <v>3.6</v>
      </c>
      <c r="M19" s="1">
        <v>67.0</v>
      </c>
      <c r="N19" s="1" t="s">
        <v>21</v>
      </c>
    </row>
    <row r="20">
      <c r="A20" s="1" t="s">
        <v>78</v>
      </c>
      <c r="B20" s="1" t="s">
        <v>79</v>
      </c>
      <c r="C20" s="3">
        <v>45906.0</v>
      </c>
      <c r="D20" s="1" t="s">
        <v>24</v>
      </c>
      <c r="E20" s="1" t="s">
        <v>48</v>
      </c>
      <c r="F20" s="1" t="s">
        <v>37</v>
      </c>
      <c r="G20" s="1">
        <v>1.0</v>
      </c>
      <c r="H20" s="1">
        <v>699.0</v>
      </c>
      <c r="I20" s="1">
        <v>0.18</v>
      </c>
      <c r="J20" s="1">
        <v>573.18</v>
      </c>
      <c r="K20" s="1" t="s">
        <v>33</v>
      </c>
      <c r="L20" s="1">
        <v>4.0</v>
      </c>
      <c r="M20" s="1">
        <v>44.0</v>
      </c>
      <c r="N20" s="1" t="s">
        <v>21</v>
      </c>
    </row>
    <row r="21">
      <c r="A21" s="1" t="s">
        <v>80</v>
      </c>
      <c r="B21" s="1" t="s">
        <v>81</v>
      </c>
      <c r="C21" s="3">
        <v>45972.0</v>
      </c>
      <c r="D21" s="1" t="s">
        <v>17</v>
      </c>
      <c r="E21" s="1" t="s">
        <v>64</v>
      </c>
      <c r="F21" s="1" t="s">
        <v>65</v>
      </c>
      <c r="G21" s="1">
        <v>2.0</v>
      </c>
      <c r="H21" s="1">
        <v>99.0</v>
      </c>
      <c r="I21" s="1">
        <v>0.03</v>
      </c>
      <c r="J21" s="1">
        <v>192.06</v>
      </c>
      <c r="K21" s="1" t="s">
        <v>27</v>
      </c>
      <c r="L21" s="1">
        <v>4.8</v>
      </c>
      <c r="M21" s="1">
        <v>44.0</v>
      </c>
      <c r="N21" s="1" t="s">
        <v>21</v>
      </c>
    </row>
    <row r="22">
      <c r="A22" s="1" t="s">
        <v>82</v>
      </c>
      <c r="B22" s="1" t="s">
        <v>83</v>
      </c>
      <c r="C22" s="3">
        <v>45932.0</v>
      </c>
      <c r="D22" s="1" t="s">
        <v>41</v>
      </c>
      <c r="E22" s="1" t="s">
        <v>54</v>
      </c>
      <c r="F22" s="1" t="s">
        <v>65</v>
      </c>
      <c r="G22" s="1">
        <v>1.0</v>
      </c>
      <c r="H22" s="1">
        <v>499.0</v>
      </c>
      <c r="I22" s="1">
        <v>0.0</v>
      </c>
      <c r="J22" s="1">
        <v>499.0</v>
      </c>
      <c r="K22" s="1" t="s">
        <v>20</v>
      </c>
      <c r="L22" s="1">
        <v>4.0</v>
      </c>
      <c r="M22" s="1">
        <v>46.0</v>
      </c>
      <c r="N22" s="1" t="s">
        <v>21</v>
      </c>
    </row>
    <row r="23">
      <c r="A23" s="1" t="s">
        <v>84</v>
      </c>
      <c r="B23" s="1" t="s">
        <v>85</v>
      </c>
      <c r="C23" s="3">
        <v>45915.0</v>
      </c>
      <c r="D23" s="1" t="s">
        <v>30</v>
      </c>
      <c r="E23" s="1" t="s">
        <v>86</v>
      </c>
      <c r="F23" s="1" t="s">
        <v>37</v>
      </c>
      <c r="G23" s="1">
        <v>5.0</v>
      </c>
      <c r="H23" s="1">
        <v>49.0</v>
      </c>
      <c r="I23" s="1">
        <v>0.09</v>
      </c>
      <c r="J23" s="1">
        <v>222.95</v>
      </c>
      <c r="K23" s="1" t="s">
        <v>33</v>
      </c>
      <c r="L23" s="1">
        <v>3.7</v>
      </c>
      <c r="M23" s="1">
        <v>36.0</v>
      </c>
      <c r="N23" s="1" t="s">
        <v>38</v>
      </c>
    </row>
    <row r="24">
      <c r="A24" s="1" t="s">
        <v>87</v>
      </c>
      <c r="B24" s="1" t="s">
        <v>88</v>
      </c>
      <c r="C24" s="3">
        <v>45951.0</v>
      </c>
      <c r="D24" s="1" t="s">
        <v>41</v>
      </c>
      <c r="E24" s="1" t="s">
        <v>54</v>
      </c>
      <c r="F24" s="1" t="s">
        <v>57</v>
      </c>
      <c r="G24" s="1">
        <v>1.0</v>
      </c>
      <c r="H24" s="1">
        <v>1999.0</v>
      </c>
      <c r="I24" s="1">
        <v>0.18</v>
      </c>
      <c r="J24" s="1">
        <v>1639.18</v>
      </c>
      <c r="K24" s="1" t="s">
        <v>33</v>
      </c>
      <c r="L24" s="1">
        <v>4.2</v>
      </c>
      <c r="M24" s="1">
        <v>44.0</v>
      </c>
      <c r="N24" s="1" t="s">
        <v>21</v>
      </c>
    </row>
    <row r="25">
      <c r="A25" s="1" t="s">
        <v>89</v>
      </c>
      <c r="B25" s="1" t="s">
        <v>90</v>
      </c>
      <c r="C25" s="3">
        <v>45983.0</v>
      </c>
      <c r="D25" s="1" t="s">
        <v>41</v>
      </c>
      <c r="E25" s="1" t="s">
        <v>45</v>
      </c>
      <c r="F25" s="1" t="s">
        <v>37</v>
      </c>
      <c r="G25" s="1">
        <v>3.0</v>
      </c>
      <c r="H25" s="1">
        <v>999.0</v>
      </c>
      <c r="I25" s="1">
        <v>0.13</v>
      </c>
      <c r="J25" s="1">
        <v>2607.39</v>
      </c>
      <c r="K25" s="1" t="s">
        <v>33</v>
      </c>
      <c r="L25" s="1">
        <v>4.1</v>
      </c>
      <c r="M25" s="1">
        <v>43.0</v>
      </c>
      <c r="N25" s="1" t="s">
        <v>21</v>
      </c>
    </row>
    <row r="26">
      <c r="A26" s="1" t="s">
        <v>91</v>
      </c>
      <c r="B26" s="1" t="s">
        <v>85</v>
      </c>
      <c r="C26" s="3">
        <v>45870.0</v>
      </c>
      <c r="D26" s="1" t="s">
        <v>30</v>
      </c>
      <c r="E26" s="1" t="s">
        <v>31</v>
      </c>
      <c r="F26" s="1" t="s">
        <v>32</v>
      </c>
      <c r="G26" s="1">
        <v>4.0</v>
      </c>
      <c r="H26" s="1">
        <v>499.0</v>
      </c>
      <c r="I26" s="1">
        <v>0.2</v>
      </c>
      <c r="J26" s="1">
        <v>1596.8</v>
      </c>
      <c r="K26" s="1" t="s">
        <v>33</v>
      </c>
      <c r="L26" s="1">
        <v>3.4</v>
      </c>
      <c r="M26" s="1">
        <v>33.0</v>
      </c>
      <c r="N26" s="1" t="s">
        <v>21</v>
      </c>
    </row>
    <row r="27">
      <c r="A27" s="1" t="s">
        <v>92</v>
      </c>
      <c r="B27" s="1" t="s">
        <v>93</v>
      </c>
      <c r="C27" s="3">
        <v>45844.0</v>
      </c>
      <c r="D27" s="1" t="s">
        <v>41</v>
      </c>
      <c r="E27" s="1" t="s">
        <v>94</v>
      </c>
      <c r="F27" s="1" t="s">
        <v>37</v>
      </c>
      <c r="G27" s="1">
        <v>2.0</v>
      </c>
      <c r="H27" s="1">
        <v>1999.0</v>
      </c>
      <c r="I27" s="1">
        <v>0.23</v>
      </c>
      <c r="J27" s="1">
        <v>3078.46</v>
      </c>
      <c r="K27" s="1" t="s">
        <v>33</v>
      </c>
      <c r="L27" s="1">
        <v>5.0</v>
      </c>
      <c r="M27" s="1">
        <v>48.0</v>
      </c>
      <c r="N27" s="1" t="s">
        <v>21</v>
      </c>
    </row>
    <row r="28">
      <c r="A28" s="1" t="s">
        <v>95</v>
      </c>
      <c r="B28" s="1" t="s">
        <v>69</v>
      </c>
      <c r="C28" s="3">
        <v>45981.0</v>
      </c>
      <c r="D28" s="1" t="s">
        <v>17</v>
      </c>
      <c r="E28" s="1" t="s">
        <v>75</v>
      </c>
      <c r="F28" s="1" t="s">
        <v>37</v>
      </c>
      <c r="G28" s="1">
        <v>4.0</v>
      </c>
      <c r="H28" s="1">
        <v>49.0</v>
      </c>
      <c r="I28" s="1">
        <v>0.08</v>
      </c>
      <c r="J28" s="1">
        <v>180.32</v>
      </c>
      <c r="K28" s="1" t="s">
        <v>27</v>
      </c>
      <c r="L28" s="1">
        <v>4.8</v>
      </c>
      <c r="M28" s="1">
        <v>40.0</v>
      </c>
      <c r="N28" s="1" t="s">
        <v>21</v>
      </c>
    </row>
    <row r="29">
      <c r="A29" s="1" t="s">
        <v>96</v>
      </c>
      <c r="B29" s="1" t="s">
        <v>97</v>
      </c>
      <c r="C29" s="3">
        <v>45945.0</v>
      </c>
      <c r="D29" s="1" t="s">
        <v>24</v>
      </c>
      <c r="E29" s="1" t="s">
        <v>25</v>
      </c>
      <c r="F29" s="1" t="s">
        <v>37</v>
      </c>
      <c r="G29" s="1">
        <v>3.0</v>
      </c>
      <c r="H29" s="1">
        <v>199.0</v>
      </c>
      <c r="I29" s="1">
        <v>0.21</v>
      </c>
      <c r="J29" s="1">
        <v>471.63</v>
      </c>
      <c r="K29" s="1" t="s">
        <v>33</v>
      </c>
      <c r="L29" s="1">
        <v>5.0</v>
      </c>
      <c r="M29" s="1">
        <v>37.0</v>
      </c>
      <c r="N29" s="1" t="s">
        <v>21</v>
      </c>
    </row>
    <row r="30">
      <c r="A30" s="1" t="s">
        <v>98</v>
      </c>
      <c r="B30" s="1" t="s">
        <v>99</v>
      </c>
      <c r="C30" s="3">
        <v>46014.0</v>
      </c>
      <c r="D30" s="1" t="s">
        <v>17</v>
      </c>
      <c r="E30" s="1" t="s">
        <v>18</v>
      </c>
      <c r="F30" s="1" t="s">
        <v>57</v>
      </c>
      <c r="G30" s="1">
        <v>2.0</v>
      </c>
      <c r="H30" s="1">
        <v>299.0</v>
      </c>
      <c r="I30" s="1">
        <v>0.01</v>
      </c>
      <c r="J30" s="1">
        <v>592.02</v>
      </c>
      <c r="K30" s="1" t="s">
        <v>20</v>
      </c>
      <c r="L30" s="1">
        <v>4.1</v>
      </c>
      <c r="M30" s="1">
        <v>41.0</v>
      </c>
      <c r="N30" s="1" t="s">
        <v>21</v>
      </c>
    </row>
    <row r="31">
      <c r="A31" s="1" t="s">
        <v>100</v>
      </c>
      <c r="B31" s="1" t="s">
        <v>101</v>
      </c>
      <c r="C31" s="3">
        <v>45881.0</v>
      </c>
      <c r="D31" s="1" t="s">
        <v>41</v>
      </c>
      <c r="E31" s="1" t="s">
        <v>42</v>
      </c>
      <c r="F31" s="1" t="s">
        <v>65</v>
      </c>
      <c r="G31" s="1">
        <v>1.0</v>
      </c>
      <c r="H31" s="1">
        <v>499.0</v>
      </c>
      <c r="I31" s="1">
        <v>0.16</v>
      </c>
      <c r="J31" s="1">
        <v>419.16</v>
      </c>
      <c r="K31" s="1" t="s">
        <v>27</v>
      </c>
      <c r="L31" s="1">
        <v>5.0</v>
      </c>
      <c r="M31" s="1">
        <v>37.0</v>
      </c>
      <c r="N31" s="1" t="s">
        <v>21</v>
      </c>
    </row>
    <row r="32">
      <c r="A32" s="1" t="s">
        <v>102</v>
      </c>
      <c r="B32" s="1" t="s">
        <v>103</v>
      </c>
      <c r="C32" s="3">
        <v>45964.0</v>
      </c>
      <c r="D32" s="1" t="s">
        <v>30</v>
      </c>
      <c r="E32" s="1" t="s">
        <v>31</v>
      </c>
      <c r="F32" s="1" t="s">
        <v>19</v>
      </c>
      <c r="G32" s="1">
        <v>1.0</v>
      </c>
      <c r="H32" s="1">
        <v>299.0</v>
      </c>
      <c r="I32" s="1">
        <v>0.13</v>
      </c>
      <c r="J32" s="1">
        <v>260.13</v>
      </c>
      <c r="K32" s="1" t="s">
        <v>33</v>
      </c>
      <c r="M32" s="1">
        <v>50.0</v>
      </c>
      <c r="N32" s="1" t="s">
        <v>38</v>
      </c>
    </row>
    <row r="33">
      <c r="A33" s="1" t="s">
        <v>104</v>
      </c>
      <c r="B33" s="1" t="s">
        <v>105</v>
      </c>
      <c r="C33" s="3">
        <v>46022.0</v>
      </c>
      <c r="D33" s="1" t="s">
        <v>30</v>
      </c>
      <c r="E33" s="1" t="s">
        <v>36</v>
      </c>
      <c r="F33" s="1" t="s">
        <v>37</v>
      </c>
      <c r="G33" s="1">
        <v>2.0</v>
      </c>
      <c r="H33" s="1">
        <v>299.0</v>
      </c>
      <c r="I33" s="1">
        <v>0.15</v>
      </c>
      <c r="J33" s="1">
        <v>508.3</v>
      </c>
      <c r="K33" s="1" t="s">
        <v>51</v>
      </c>
      <c r="L33" s="1">
        <v>4.6</v>
      </c>
      <c r="M33" s="1">
        <v>46.0</v>
      </c>
      <c r="N33" s="1" t="s">
        <v>21</v>
      </c>
    </row>
    <row r="34">
      <c r="A34" s="1" t="s">
        <v>106</v>
      </c>
      <c r="B34" s="1" t="s">
        <v>107</v>
      </c>
      <c r="C34" s="3">
        <v>46014.0</v>
      </c>
      <c r="D34" s="1" t="s">
        <v>17</v>
      </c>
      <c r="E34" s="1" t="s">
        <v>75</v>
      </c>
      <c r="F34" s="1" t="s">
        <v>57</v>
      </c>
      <c r="G34" s="1">
        <v>1.0</v>
      </c>
      <c r="H34" s="1">
        <v>299.0</v>
      </c>
      <c r="I34" s="1">
        <v>0.02</v>
      </c>
      <c r="J34" s="1">
        <v>293.02</v>
      </c>
      <c r="K34" s="1" t="s">
        <v>33</v>
      </c>
      <c r="L34" s="1">
        <v>4.0</v>
      </c>
      <c r="M34" s="1">
        <v>36.0</v>
      </c>
      <c r="N34" s="1" t="s">
        <v>21</v>
      </c>
    </row>
    <row r="35">
      <c r="A35" s="1" t="s">
        <v>108</v>
      </c>
      <c r="B35" s="1" t="s">
        <v>107</v>
      </c>
      <c r="C35" s="3">
        <v>45846.0</v>
      </c>
      <c r="D35" s="1" t="s">
        <v>17</v>
      </c>
      <c r="E35" s="1" t="s">
        <v>75</v>
      </c>
      <c r="F35" s="1" t="s">
        <v>65</v>
      </c>
      <c r="G35" s="1">
        <v>2.0</v>
      </c>
      <c r="H35" s="1">
        <v>1999.0</v>
      </c>
      <c r="I35" s="1">
        <v>0.12</v>
      </c>
      <c r="J35" s="1">
        <v>3518.24</v>
      </c>
      <c r="K35" s="1" t="s">
        <v>51</v>
      </c>
      <c r="L35" s="1">
        <v>4.0</v>
      </c>
      <c r="M35" s="1">
        <v>41.0</v>
      </c>
      <c r="N35" s="1" t="s">
        <v>21</v>
      </c>
    </row>
    <row r="36">
      <c r="A36" s="1" t="s">
        <v>109</v>
      </c>
      <c r="B36" s="1" t="s">
        <v>88</v>
      </c>
      <c r="C36" s="3">
        <v>46017.0</v>
      </c>
      <c r="D36" s="1" t="s">
        <v>41</v>
      </c>
      <c r="E36" s="1" t="s">
        <v>94</v>
      </c>
      <c r="F36" s="1" t="s">
        <v>37</v>
      </c>
      <c r="G36" s="1">
        <v>1.0</v>
      </c>
      <c r="H36" s="1">
        <v>299.0</v>
      </c>
      <c r="I36" s="1">
        <v>0.08</v>
      </c>
      <c r="J36" s="1">
        <v>275.08</v>
      </c>
      <c r="K36" s="1" t="s">
        <v>51</v>
      </c>
      <c r="L36" s="1">
        <v>3.2</v>
      </c>
      <c r="M36" s="1">
        <v>37.0</v>
      </c>
      <c r="N36" s="1" t="s">
        <v>21</v>
      </c>
    </row>
    <row r="37">
      <c r="A37" s="1" t="s">
        <v>110</v>
      </c>
      <c r="B37" s="1" t="s">
        <v>63</v>
      </c>
      <c r="C37" s="3">
        <v>45939.0</v>
      </c>
      <c r="D37" s="1" t="s">
        <v>17</v>
      </c>
      <c r="E37" s="1" t="s">
        <v>111</v>
      </c>
      <c r="F37" s="1" t="s">
        <v>19</v>
      </c>
      <c r="G37" s="1">
        <v>2.0</v>
      </c>
      <c r="H37" s="1">
        <v>1499.0</v>
      </c>
      <c r="I37" s="1">
        <v>0.12</v>
      </c>
      <c r="J37" s="1">
        <v>2638.24</v>
      </c>
      <c r="K37" s="1" t="s">
        <v>20</v>
      </c>
      <c r="L37" s="1">
        <v>4.9</v>
      </c>
      <c r="M37" s="1">
        <v>32.0</v>
      </c>
      <c r="N37" s="1" t="s">
        <v>21</v>
      </c>
    </row>
    <row r="38">
      <c r="A38" s="1" t="s">
        <v>112</v>
      </c>
      <c r="B38" s="1" t="s">
        <v>72</v>
      </c>
      <c r="C38" s="3">
        <v>45906.0</v>
      </c>
      <c r="D38" s="1" t="s">
        <v>41</v>
      </c>
      <c r="E38" s="1" t="s">
        <v>42</v>
      </c>
      <c r="F38" s="1" t="s">
        <v>32</v>
      </c>
      <c r="G38" s="1">
        <v>1.0</v>
      </c>
      <c r="H38" s="1">
        <v>49.0</v>
      </c>
      <c r="I38" s="1">
        <v>0.0</v>
      </c>
      <c r="J38" s="1">
        <v>49.0</v>
      </c>
      <c r="L38" s="1">
        <v>4.7</v>
      </c>
      <c r="M38" s="1">
        <v>43.0</v>
      </c>
      <c r="N38" s="1" t="s">
        <v>21</v>
      </c>
    </row>
    <row r="39">
      <c r="A39" s="1" t="s">
        <v>113</v>
      </c>
      <c r="B39" s="1" t="s">
        <v>114</v>
      </c>
      <c r="C39" s="3">
        <v>45844.0</v>
      </c>
      <c r="D39" s="1" t="s">
        <v>30</v>
      </c>
      <c r="E39" s="1" t="s">
        <v>86</v>
      </c>
      <c r="F39" s="1" t="s">
        <v>19</v>
      </c>
      <c r="G39" s="1">
        <v>1.0</v>
      </c>
      <c r="H39" s="1">
        <v>699.0</v>
      </c>
      <c r="I39" s="1">
        <v>0.19</v>
      </c>
      <c r="J39" s="1">
        <v>566.19</v>
      </c>
      <c r="K39" s="1" t="s">
        <v>27</v>
      </c>
      <c r="L39" s="1">
        <v>4.1</v>
      </c>
      <c r="M39" s="1">
        <v>41.0</v>
      </c>
      <c r="N39" s="1" t="s">
        <v>21</v>
      </c>
    </row>
    <row r="40">
      <c r="A40" s="1" t="s">
        <v>115</v>
      </c>
      <c r="B40" s="1" t="s">
        <v>116</v>
      </c>
      <c r="C40" s="3">
        <v>45993.0</v>
      </c>
      <c r="D40" s="1" t="s">
        <v>24</v>
      </c>
      <c r="E40" s="1" t="s">
        <v>117</v>
      </c>
      <c r="F40" s="1" t="s">
        <v>32</v>
      </c>
      <c r="G40" s="1">
        <v>2.0</v>
      </c>
      <c r="H40" s="1">
        <v>299.0</v>
      </c>
      <c r="I40" s="1">
        <v>0.05</v>
      </c>
      <c r="J40" s="1">
        <v>568.1</v>
      </c>
      <c r="K40" s="1" t="s">
        <v>27</v>
      </c>
      <c r="L40" s="1">
        <v>3.5</v>
      </c>
      <c r="M40" s="1">
        <v>40.0</v>
      </c>
      <c r="N40" s="1" t="s">
        <v>21</v>
      </c>
    </row>
    <row r="41">
      <c r="A41" s="1" t="s">
        <v>118</v>
      </c>
      <c r="B41" s="1" t="s">
        <v>119</v>
      </c>
      <c r="C41" s="3">
        <v>45988.0</v>
      </c>
      <c r="D41" s="1" t="s">
        <v>30</v>
      </c>
      <c r="E41" s="1" t="s">
        <v>86</v>
      </c>
      <c r="F41" s="1" t="s">
        <v>26</v>
      </c>
      <c r="G41" s="1">
        <v>2.0</v>
      </c>
      <c r="H41" s="1">
        <v>999.0</v>
      </c>
      <c r="I41" s="1">
        <v>0.18</v>
      </c>
      <c r="J41" s="1">
        <v>1638.36</v>
      </c>
      <c r="K41" s="1" t="s">
        <v>27</v>
      </c>
      <c r="M41" s="1">
        <v>17.0</v>
      </c>
      <c r="N41" s="1" t="s">
        <v>21</v>
      </c>
    </row>
    <row r="42">
      <c r="A42" s="1" t="s">
        <v>120</v>
      </c>
      <c r="B42" s="1" t="s">
        <v>121</v>
      </c>
      <c r="C42" s="3">
        <v>45975.0</v>
      </c>
      <c r="D42" s="1" t="s">
        <v>41</v>
      </c>
      <c r="E42" s="1" t="s">
        <v>54</v>
      </c>
      <c r="F42" s="1" t="s">
        <v>26</v>
      </c>
      <c r="G42" s="1">
        <v>1.0</v>
      </c>
      <c r="H42" s="1">
        <v>499.0</v>
      </c>
      <c r="I42" s="1">
        <v>0.17</v>
      </c>
      <c r="J42" s="1">
        <v>414.17</v>
      </c>
      <c r="K42" s="1" t="s">
        <v>33</v>
      </c>
      <c r="L42" s="1">
        <v>5.0</v>
      </c>
      <c r="M42" s="1">
        <v>36.0</v>
      </c>
      <c r="N42" s="1" t="s">
        <v>21</v>
      </c>
    </row>
    <row r="43">
      <c r="A43" s="1" t="s">
        <v>122</v>
      </c>
      <c r="B43" s="1" t="s">
        <v>123</v>
      </c>
      <c r="C43" s="3">
        <v>45983.0</v>
      </c>
      <c r="D43" s="1" t="s">
        <v>41</v>
      </c>
      <c r="E43" s="1" t="s">
        <v>94</v>
      </c>
      <c r="F43" s="1" t="s">
        <v>19</v>
      </c>
      <c r="G43" s="1">
        <v>1.0</v>
      </c>
      <c r="H43" s="1">
        <v>1999.0</v>
      </c>
      <c r="I43" s="1">
        <v>0.11</v>
      </c>
      <c r="J43" s="1">
        <v>1779.11</v>
      </c>
      <c r="K43" s="1" t="s">
        <v>33</v>
      </c>
      <c r="L43" s="1">
        <v>4.3</v>
      </c>
      <c r="M43" s="1">
        <v>30.0</v>
      </c>
      <c r="N43" s="1" t="s">
        <v>21</v>
      </c>
    </row>
    <row r="44">
      <c r="A44" s="1" t="s">
        <v>124</v>
      </c>
      <c r="B44" s="1" t="s">
        <v>125</v>
      </c>
      <c r="C44" s="3">
        <v>45927.0</v>
      </c>
      <c r="D44" s="1" t="s">
        <v>30</v>
      </c>
      <c r="E44" s="1" t="s">
        <v>36</v>
      </c>
      <c r="F44" s="1" t="s">
        <v>32</v>
      </c>
      <c r="G44" s="1">
        <v>2.0</v>
      </c>
      <c r="H44" s="1">
        <v>149.0</v>
      </c>
      <c r="I44" s="1">
        <v>0.0</v>
      </c>
      <c r="J44" s="1">
        <v>298.0</v>
      </c>
      <c r="K44" s="1" t="s">
        <v>51</v>
      </c>
      <c r="L44" s="1">
        <v>4.9</v>
      </c>
      <c r="M44" s="1">
        <v>29.0</v>
      </c>
      <c r="N44" s="1" t="s">
        <v>21</v>
      </c>
    </row>
    <row r="45">
      <c r="A45" s="1" t="s">
        <v>126</v>
      </c>
      <c r="B45" s="1" t="s">
        <v>127</v>
      </c>
      <c r="C45" s="3">
        <v>46017.0</v>
      </c>
      <c r="D45" s="1" t="s">
        <v>30</v>
      </c>
      <c r="E45" s="1" t="s">
        <v>70</v>
      </c>
      <c r="F45" s="1" t="s">
        <v>37</v>
      </c>
      <c r="G45" s="1">
        <v>4.0</v>
      </c>
      <c r="H45" s="1">
        <v>999.0</v>
      </c>
      <c r="I45" s="1">
        <v>0.12</v>
      </c>
      <c r="J45" s="1">
        <v>3516.48</v>
      </c>
      <c r="K45" s="1" t="s">
        <v>27</v>
      </c>
      <c r="L45" s="1">
        <v>3.0</v>
      </c>
      <c r="M45" s="1">
        <v>41.0</v>
      </c>
      <c r="N45" s="1" t="s">
        <v>21</v>
      </c>
    </row>
    <row r="46">
      <c r="A46" s="1" t="s">
        <v>128</v>
      </c>
      <c r="B46" s="1" t="s">
        <v>72</v>
      </c>
      <c r="C46" s="3">
        <v>45908.0</v>
      </c>
      <c r="D46" s="1" t="s">
        <v>41</v>
      </c>
      <c r="E46" s="1" t="s">
        <v>54</v>
      </c>
      <c r="F46" s="1" t="s">
        <v>65</v>
      </c>
      <c r="G46" s="1">
        <v>2.0</v>
      </c>
      <c r="H46" s="1">
        <v>299.0</v>
      </c>
      <c r="I46" s="1">
        <v>0.14</v>
      </c>
      <c r="J46" s="1">
        <v>514.28</v>
      </c>
      <c r="K46" s="1" t="s">
        <v>33</v>
      </c>
      <c r="L46" s="1">
        <v>3.9</v>
      </c>
      <c r="M46" s="1">
        <v>44.0</v>
      </c>
      <c r="N46" s="1" t="s">
        <v>21</v>
      </c>
    </row>
    <row r="47">
      <c r="A47" s="1" t="s">
        <v>129</v>
      </c>
      <c r="B47" s="1" t="s">
        <v>130</v>
      </c>
      <c r="C47" s="3">
        <v>45921.0</v>
      </c>
      <c r="D47" s="1" t="s">
        <v>30</v>
      </c>
      <c r="E47" s="1" t="s">
        <v>31</v>
      </c>
      <c r="F47" s="1" t="s">
        <v>57</v>
      </c>
      <c r="G47" s="1">
        <v>2.0</v>
      </c>
      <c r="H47" s="1">
        <v>149.0</v>
      </c>
      <c r="I47" s="1">
        <v>0.09</v>
      </c>
      <c r="J47" s="1">
        <v>271.18</v>
      </c>
      <c r="K47" s="1" t="s">
        <v>51</v>
      </c>
      <c r="L47" s="1">
        <v>4.2</v>
      </c>
      <c r="M47" s="1">
        <v>36.0</v>
      </c>
      <c r="N47" s="1" t="s">
        <v>21</v>
      </c>
    </row>
    <row r="48">
      <c r="A48" s="1" t="s">
        <v>131</v>
      </c>
      <c r="B48" s="1" t="s">
        <v>132</v>
      </c>
      <c r="C48" s="3">
        <v>45946.0</v>
      </c>
      <c r="D48" s="1" t="s">
        <v>17</v>
      </c>
      <c r="E48" s="1" t="s">
        <v>75</v>
      </c>
      <c r="F48" s="1" t="s">
        <v>32</v>
      </c>
      <c r="G48" s="1">
        <v>1.0</v>
      </c>
      <c r="H48" s="1">
        <v>249.0</v>
      </c>
      <c r="I48" s="1">
        <v>0.14</v>
      </c>
      <c r="J48" s="1">
        <v>214.14</v>
      </c>
      <c r="K48" s="1" t="s">
        <v>20</v>
      </c>
      <c r="L48" s="1">
        <v>4.3</v>
      </c>
      <c r="M48" s="1">
        <v>28.0</v>
      </c>
      <c r="N48" s="1" t="s">
        <v>21</v>
      </c>
    </row>
    <row r="49">
      <c r="A49" s="1" t="s">
        <v>133</v>
      </c>
      <c r="B49" s="1" t="s">
        <v>134</v>
      </c>
      <c r="C49" s="3">
        <v>46014.0</v>
      </c>
      <c r="D49" s="1" t="s">
        <v>41</v>
      </c>
      <c r="E49" s="1" t="s">
        <v>42</v>
      </c>
      <c r="F49" s="1" t="s">
        <v>26</v>
      </c>
      <c r="G49" s="1">
        <v>2.0</v>
      </c>
      <c r="H49" s="1">
        <v>99.0</v>
      </c>
      <c r="I49" s="1">
        <v>0.2</v>
      </c>
      <c r="J49" s="1">
        <v>158.4</v>
      </c>
      <c r="K49" s="1" t="s">
        <v>27</v>
      </c>
      <c r="L49" s="1">
        <v>5.0</v>
      </c>
      <c r="M49" s="1">
        <v>57.0</v>
      </c>
      <c r="N49" s="1" t="s">
        <v>21</v>
      </c>
    </row>
    <row r="50">
      <c r="A50" s="1" t="s">
        <v>135</v>
      </c>
      <c r="B50" s="1" t="s">
        <v>136</v>
      </c>
      <c r="C50" s="3">
        <v>45915.0</v>
      </c>
      <c r="D50" s="1" t="s">
        <v>17</v>
      </c>
      <c r="E50" s="1" t="s">
        <v>75</v>
      </c>
      <c r="F50" s="1" t="s">
        <v>26</v>
      </c>
      <c r="G50" s="1">
        <v>5.0</v>
      </c>
      <c r="H50" s="1">
        <v>249.0</v>
      </c>
      <c r="I50" s="1">
        <v>0.12</v>
      </c>
      <c r="J50" s="1">
        <v>1095.6</v>
      </c>
      <c r="K50" s="1" t="s">
        <v>33</v>
      </c>
      <c r="L50" s="1">
        <v>4.2</v>
      </c>
      <c r="M50" s="1">
        <v>49.0</v>
      </c>
      <c r="N50" s="1" t="s">
        <v>21</v>
      </c>
    </row>
    <row r="51">
      <c r="A51" s="1" t="s">
        <v>137</v>
      </c>
      <c r="B51" s="1" t="s">
        <v>138</v>
      </c>
      <c r="C51" s="3">
        <v>46015.0</v>
      </c>
      <c r="D51" s="1" t="s">
        <v>24</v>
      </c>
      <c r="E51" s="1" t="s">
        <v>117</v>
      </c>
      <c r="F51" s="1" t="s">
        <v>19</v>
      </c>
      <c r="G51" s="1">
        <v>1.0</v>
      </c>
      <c r="H51" s="1">
        <v>299.0</v>
      </c>
      <c r="I51" s="1">
        <v>0.17</v>
      </c>
      <c r="J51" s="1">
        <v>248.17</v>
      </c>
      <c r="K51" s="1" t="s">
        <v>33</v>
      </c>
      <c r="L51" s="1">
        <v>4.5</v>
      </c>
      <c r="M51" s="1">
        <v>43.0</v>
      </c>
      <c r="N51" s="1" t="s">
        <v>21</v>
      </c>
    </row>
    <row r="52">
      <c r="A52" s="1" t="s">
        <v>139</v>
      </c>
      <c r="B52" s="1" t="s">
        <v>97</v>
      </c>
      <c r="C52" s="3">
        <v>46004.0</v>
      </c>
      <c r="D52" s="1" t="s">
        <v>24</v>
      </c>
      <c r="E52" s="1" t="s">
        <v>140</v>
      </c>
      <c r="F52" s="1" t="s">
        <v>26</v>
      </c>
      <c r="G52" s="1">
        <v>1.0</v>
      </c>
      <c r="H52" s="1">
        <v>199.0</v>
      </c>
      <c r="I52" s="1">
        <v>0.19</v>
      </c>
      <c r="J52" s="1">
        <v>161.19</v>
      </c>
      <c r="K52" s="1" t="s">
        <v>27</v>
      </c>
      <c r="L52" s="1">
        <v>3.9</v>
      </c>
      <c r="M52" s="1">
        <v>53.0</v>
      </c>
      <c r="N52" s="1" t="s">
        <v>21</v>
      </c>
    </row>
    <row r="53">
      <c r="A53" s="1" t="s">
        <v>141</v>
      </c>
      <c r="B53" s="1" t="s">
        <v>142</v>
      </c>
      <c r="C53" s="3">
        <v>45897.0</v>
      </c>
      <c r="D53" s="1" t="s">
        <v>41</v>
      </c>
      <c r="E53" s="1" t="s">
        <v>54</v>
      </c>
      <c r="F53" s="1" t="s">
        <v>37</v>
      </c>
      <c r="G53" s="1">
        <v>5.0</v>
      </c>
      <c r="H53" s="1">
        <v>249.0</v>
      </c>
      <c r="I53" s="1">
        <v>0.06</v>
      </c>
      <c r="J53" s="1">
        <v>1170.3</v>
      </c>
      <c r="K53" s="1" t="s">
        <v>20</v>
      </c>
      <c r="L53" s="1">
        <v>3.4</v>
      </c>
      <c r="M53" s="1">
        <v>26.0</v>
      </c>
      <c r="N53" s="1" t="s">
        <v>21</v>
      </c>
    </row>
    <row r="54">
      <c r="A54" s="1" t="s">
        <v>143</v>
      </c>
      <c r="B54" s="1" t="s">
        <v>74</v>
      </c>
      <c r="C54" s="3">
        <v>45981.0</v>
      </c>
      <c r="D54" s="1" t="s">
        <v>17</v>
      </c>
      <c r="E54" s="1" t="s">
        <v>75</v>
      </c>
      <c r="F54" s="1" t="s">
        <v>65</v>
      </c>
      <c r="G54" s="1">
        <v>1.0</v>
      </c>
      <c r="H54" s="1">
        <v>299.0</v>
      </c>
      <c r="I54" s="1">
        <v>0.15</v>
      </c>
      <c r="J54" s="1">
        <v>254.15</v>
      </c>
      <c r="K54" s="1" t="s">
        <v>27</v>
      </c>
      <c r="L54" s="1">
        <v>3.6</v>
      </c>
      <c r="M54" s="1">
        <v>27.0</v>
      </c>
      <c r="N54" s="1" t="s">
        <v>21</v>
      </c>
    </row>
    <row r="55">
      <c r="A55" s="1" t="s">
        <v>144</v>
      </c>
      <c r="B55" s="1" t="s">
        <v>145</v>
      </c>
      <c r="C55" s="3">
        <v>45992.0</v>
      </c>
      <c r="D55" s="1" t="s">
        <v>41</v>
      </c>
      <c r="E55" s="1" t="s">
        <v>54</v>
      </c>
      <c r="F55" s="1" t="s">
        <v>32</v>
      </c>
      <c r="G55" s="1">
        <v>1.0</v>
      </c>
      <c r="H55" s="1">
        <v>1499.0</v>
      </c>
      <c r="I55" s="1">
        <v>0.11</v>
      </c>
      <c r="J55" s="1">
        <v>1334.11</v>
      </c>
      <c r="K55" s="1" t="s">
        <v>33</v>
      </c>
      <c r="L55" s="1">
        <v>5.0</v>
      </c>
      <c r="M55" s="1">
        <v>20.0</v>
      </c>
      <c r="N55" s="1" t="s">
        <v>21</v>
      </c>
    </row>
    <row r="56">
      <c r="A56" s="1" t="s">
        <v>146</v>
      </c>
      <c r="B56" s="1" t="s">
        <v>147</v>
      </c>
      <c r="C56" s="3">
        <v>45879.0</v>
      </c>
      <c r="D56" s="1" t="s">
        <v>24</v>
      </c>
      <c r="E56" s="1" t="s">
        <v>25</v>
      </c>
      <c r="F56" s="1" t="s">
        <v>32</v>
      </c>
      <c r="G56" s="1">
        <v>2.0</v>
      </c>
      <c r="H56" s="1">
        <v>299.0</v>
      </c>
      <c r="I56" s="1">
        <v>0.05</v>
      </c>
      <c r="J56" s="1">
        <v>568.1</v>
      </c>
      <c r="K56" s="1" t="s">
        <v>51</v>
      </c>
      <c r="L56" s="1">
        <v>3.5</v>
      </c>
      <c r="M56" s="1">
        <v>27.0</v>
      </c>
      <c r="N56" s="1" t="s">
        <v>21</v>
      </c>
    </row>
    <row r="57">
      <c r="A57" s="1" t="s">
        <v>148</v>
      </c>
      <c r="B57" s="1" t="s">
        <v>149</v>
      </c>
      <c r="C57" s="3">
        <v>45926.0</v>
      </c>
      <c r="D57" s="1" t="s">
        <v>24</v>
      </c>
      <c r="E57" s="1" t="s">
        <v>140</v>
      </c>
      <c r="F57" s="1" t="s">
        <v>65</v>
      </c>
      <c r="G57" s="1">
        <v>2.0</v>
      </c>
      <c r="H57" s="1">
        <v>1999.0</v>
      </c>
      <c r="I57" s="1">
        <v>0.12</v>
      </c>
      <c r="J57" s="1">
        <v>3518.24</v>
      </c>
      <c r="K57" s="1" t="s">
        <v>27</v>
      </c>
      <c r="L57" s="1">
        <v>3.9</v>
      </c>
      <c r="M57" s="1">
        <v>32.0</v>
      </c>
      <c r="N57" s="1" t="s">
        <v>21</v>
      </c>
    </row>
    <row r="58">
      <c r="A58" s="1" t="s">
        <v>150</v>
      </c>
      <c r="B58" s="1" t="s">
        <v>151</v>
      </c>
      <c r="C58" s="3">
        <v>45893.0</v>
      </c>
      <c r="D58" s="1" t="s">
        <v>24</v>
      </c>
      <c r="E58" s="1" t="s">
        <v>117</v>
      </c>
      <c r="F58" s="1" t="s">
        <v>37</v>
      </c>
      <c r="G58" s="1">
        <v>2.0</v>
      </c>
      <c r="H58" s="1">
        <v>699.0</v>
      </c>
      <c r="I58" s="1">
        <v>0.17</v>
      </c>
      <c r="J58" s="1">
        <v>1160.34</v>
      </c>
      <c r="K58" s="1" t="s">
        <v>20</v>
      </c>
      <c r="L58" s="1">
        <v>4.8</v>
      </c>
      <c r="M58" s="1">
        <v>26.0</v>
      </c>
      <c r="N58" s="1" t="s">
        <v>21</v>
      </c>
    </row>
    <row r="59">
      <c r="A59" s="1" t="s">
        <v>152</v>
      </c>
      <c r="B59" s="1" t="s">
        <v>153</v>
      </c>
      <c r="C59" s="3">
        <v>45966.0</v>
      </c>
      <c r="D59" s="1" t="s">
        <v>30</v>
      </c>
      <c r="E59" s="1" t="s">
        <v>31</v>
      </c>
      <c r="F59" s="1" t="s">
        <v>65</v>
      </c>
      <c r="G59" s="1">
        <v>4.0</v>
      </c>
      <c r="H59" s="1">
        <v>49.0</v>
      </c>
      <c r="I59" s="1">
        <v>0.09</v>
      </c>
      <c r="J59" s="1">
        <v>178.36</v>
      </c>
      <c r="K59" s="1" t="s">
        <v>20</v>
      </c>
      <c r="L59" s="1">
        <v>3.1</v>
      </c>
      <c r="M59" s="1">
        <v>33.0</v>
      </c>
      <c r="N59" s="1" t="s">
        <v>21</v>
      </c>
    </row>
    <row r="60">
      <c r="A60" s="1" t="s">
        <v>154</v>
      </c>
      <c r="B60" s="1" t="s">
        <v>125</v>
      </c>
      <c r="C60" s="3">
        <v>46015.0</v>
      </c>
      <c r="D60" s="1" t="s">
        <v>41</v>
      </c>
      <c r="E60" s="1" t="s">
        <v>94</v>
      </c>
      <c r="F60" s="1" t="s">
        <v>65</v>
      </c>
      <c r="G60" s="1">
        <v>1.0</v>
      </c>
      <c r="H60" s="1">
        <v>499.0</v>
      </c>
      <c r="I60" s="1">
        <v>0.16</v>
      </c>
      <c r="J60" s="1">
        <v>419.16</v>
      </c>
      <c r="K60" s="1" t="s">
        <v>27</v>
      </c>
      <c r="L60" s="1">
        <v>5.0</v>
      </c>
      <c r="M60" s="1">
        <v>50.0</v>
      </c>
      <c r="N60" s="1" t="s">
        <v>21</v>
      </c>
    </row>
    <row r="61">
      <c r="A61" s="1" t="s">
        <v>155</v>
      </c>
      <c r="B61" s="1" t="s">
        <v>156</v>
      </c>
      <c r="C61" s="3">
        <v>45886.0</v>
      </c>
      <c r="D61" s="1" t="s">
        <v>30</v>
      </c>
      <c r="E61" s="1" t="s">
        <v>31</v>
      </c>
      <c r="F61" s="1" t="s">
        <v>32</v>
      </c>
      <c r="G61" s="1">
        <v>1.0</v>
      </c>
      <c r="H61" s="1">
        <v>49.0</v>
      </c>
      <c r="I61" s="1">
        <v>0.0</v>
      </c>
      <c r="J61" s="1">
        <v>49.0</v>
      </c>
      <c r="K61" s="1" t="s">
        <v>27</v>
      </c>
      <c r="L61" s="1">
        <v>4.4</v>
      </c>
      <c r="M61" s="1">
        <v>39.0</v>
      </c>
      <c r="N61" s="1" t="s">
        <v>21</v>
      </c>
    </row>
    <row r="62">
      <c r="A62" s="1" t="s">
        <v>157</v>
      </c>
      <c r="B62" s="1" t="s">
        <v>158</v>
      </c>
      <c r="C62" s="3">
        <v>45862.0</v>
      </c>
      <c r="D62" s="1" t="s">
        <v>41</v>
      </c>
      <c r="E62" s="1" t="s">
        <v>42</v>
      </c>
      <c r="F62" s="1" t="s">
        <v>57</v>
      </c>
      <c r="G62" s="1">
        <v>3.0</v>
      </c>
      <c r="H62" s="1">
        <v>1499.0</v>
      </c>
      <c r="I62" s="1">
        <v>0.09</v>
      </c>
      <c r="J62" s="1">
        <v>4092.27</v>
      </c>
      <c r="K62" s="1" t="s">
        <v>51</v>
      </c>
      <c r="L62" s="1">
        <v>5.0</v>
      </c>
      <c r="M62" s="1">
        <v>27.0</v>
      </c>
      <c r="N62" s="1" t="s">
        <v>21</v>
      </c>
    </row>
    <row r="63">
      <c r="A63" s="1" t="s">
        <v>159</v>
      </c>
      <c r="B63" s="1" t="s">
        <v>160</v>
      </c>
      <c r="C63" s="3">
        <v>46008.0</v>
      </c>
      <c r="D63" s="1" t="s">
        <v>41</v>
      </c>
      <c r="E63" s="1" t="s">
        <v>42</v>
      </c>
      <c r="F63" s="1" t="s">
        <v>65</v>
      </c>
      <c r="G63" s="1">
        <v>5.0</v>
      </c>
      <c r="H63" s="1">
        <v>199.0</v>
      </c>
      <c r="I63" s="1">
        <v>0.21</v>
      </c>
      <c r="J63" s="1">
        <v>786.05</v>
      </c>
      <c r="K63" s="1" t="s">
        <v>33</v>
      </c>
      <c r="L63" s="1">
        <v>4.4</v>
      </c>
      <c r="M63" s="1">
        <v>34.0</v>
      </c>
      <c r="N63" s="1" t="s">
        <v>21</v>
      </c>
    </row>
    <row r="64">
      <c r="A64" s="1" t="s">
        <v>161</v>
      </c>
      <c r="B64" s="1" t="s">
        <v>162</v>
      </c>
      <c r="C64" s="3">
        <v>45997.0</v>
      </c>
      <c r="D64" s="1" t="s">
        <v>30</v>
      </c>
      <c r="E64" s="1" t="s">
        <v>36</v>
      </c>
      <c r="F64" s="1" t="s">
        <v>37</v>
      </c>
      <c r="G64" s="1">
        <v>3.0</v>
      </c>
      <c r="H64" s="1">
        <v>999.0</v>
      </c>
      <c r="I64" s="1">
        <v>0.12</v>
      </c>
      <c r="J64" s="1">
        <v>2637.36</v>
      </c>
      <c r="K64" s="1" t="s">
        <v>20</v>
      </c>
      <c r="L64" s="1">
        <v>4.5</v>
      </c>
      <c r="M64" s="1">
        <v>21.0</v>
      </c>
      <c r="N64" s="1" t="s">
        <v>21</v>
      </c>
    </row>
    <row r="65">
      <c r="A65" s="1" t="s">
        <v>163</v>
      </c>
      <c r="B65" s="1" t="s">
        <v>164</v>
      </c>
      <c r="C65" s="3">
        <v>45922.0</v>
      </c>
      <c r="D65" s="1" t="s">
        <v>30</v>
      </c>
      <c r="E65" s="1" t="s">
        <v>86</v>
      </c>
      <c r="F65" s="1" t="s">
        <v>37</v>
      </c>
      <c r="G65" s="1">
        <v>1.0</v>
      </c>
      <c r="H65" s="1">
        <v>1499.0</v>
      </c>
      <c r="I65" s="1">
        <v>0.0</v>
      </c>
      <c r="J65" s="1">
        <v>1499.0</v>
      </c>
      <c r="K65" s="1" t="s">
        <v>20</v>
      </c>
      <c r="L65" s="1">
        <v>2.8</v>
      </c>
      <c r="M65" s="1">
        <v>35.0</v>
      </c>
      <c r="N65" s="1" t="s">
        <v>21</v>
      </c>
    </row>
    <row r="66">
      <c r="A66" s="1" t="s">
        <v>165</v>
      </c>
      <c r="B66" s="1" t="s">
        <v>166</v>
      </c>
      <c r="C66" s="3">
        <v>45881.0</v>
      </c>
      <c r="D66" s="1" t="s">
        <v>41</v>
      </c>
      <c r="E66" s="1" t="s">
        <v>45</v>
      </c>
      <c r="F66" s="1" t="s">
        <v>65</v>
      </c>
      <c r="G66" s="1">
        <v>1.0</v>
      </c>
      <c r="H66" s="1">
        <v>499.0</v>
      </c>
      <c r="I66" s="1">
        <v>0.09</v>
      </c>
      <c r="J66" s="1">
        <v>454.09</v>
      </c>
      <c r="K66" s="1" t="s">
        <v>33</v>
      </c>
      <c r="L66" s="1">
        <v>3.8</v>
      </c>
      <c r="M66" s="1">
        <v>22.0</v>
      </c>
      <c r="N66" s="1" t="s">
        <v>21</v>
      </c>
    </row>
    <row r="67">
      <c r="A67" s="1" t="s">
        <v>167</v>
      </c>
      <c r="B67" s="1" t="s">
        <v>168</v>
      </c>
      <c r="C67" s="3">
        <v>45983.0</v>
      </c>
      <c r="D67" s="1" t="s">
        <v>17</v>
      </c>
      <c r="E67" s="1" t="s">
        <v>18</v>
      </c>
      <c r="F67" s="1" t="s">
        <v>65</v>
      </c>
      <c r="G67" s="1">
        <v>1.0</v>
      </c>
      <c r="H67" s="1">
        <v>249.0</v>
      </c>
      <c r="I67" s="1">
        <v>0.21</v>
      </c>
      <c r="J67" s="1">
        <v>196.71</v>
      </c>
      <c r="K67" s="1" t="s">
        <v>51</v>
      </c>
      <c r="L67" s="1">
        <v>4.6</v>
      </c>
      <c r="M67" s="1">
        <v>30.0</v>
      </c>
      <c r="N67" s="1" t="s">
        <v>21</v>
      </c>
    </row>
    <row r="68">
      <c r="A68" s="1" t="s">
        <v>169</v>
      </c>
      <c r="B68" s="1" t="s">
        <v>170</v>
      </c>
      <c r="C68" s="3">
        <v>45848.0</v>
      </c>
      <c r="D68" s="1" t="s">
        <v>24</v>
      </c>
      <c r="E68" s="1" t="s">
        <v>140</v>
      </c>
      <c r="F68" s="1" t="s">
        <v>65</v>
      </c>
      <c r="G68" s="1">
        <v>3.0</v>
      </c>
      <c r="H68" s="1">
        <v>1999.0</v>
      </c>
      <c r="I68" s="1">
        <v>0.18</v>
      </c>
      <c r="J68" s="1">
        <v>4917.54</v>
      </c>
      <c r="K68" s="1" t="s">
        <v>51</v>
      </c>
      <c r="L68" s="1">
        <v>4.2</v>
      </c>
      <c r="M68" s="1">
        <v>45.0</v>
      </c>
      <c r="N68" s="1" t="s">
        <v>21</v>
      </c>
    </row>
    <row r="69">
      <c r="A69" s="1" t="s">
        <v>171</v>
      </c>
      <c r="B69" s="1" t="s">
        <v>172</v>
      </c>
      <c r="C69" s="3">
        <v>45909.0</v>
      </c>
      <c r="D69" s="1" t="s">
        <v>30</v>
      </c>
      <c r="E69" s="1" t="s">
        <v>86</v>
      </c>
      <c r="F69" s="1" t="s">
        <v>57</v>
      </c>
      <c r="G69" s="1">
        <v>2.0</v>
      </c>
      <c r="H69" s="1">
        <v>499.0</v>
      </c>
      <c r="I69" s="1">
        <v>0.05</v>
      </c>
      <c r="J69" s="1">
        <v>948.1</v>
      </c>
      <c r="K69" s="1" t="s">
        <v>27</v>
      </c>
      <c r="L69" s="1">
        <v>4.0</v>
      </c>
      <c r="M69" s="1">
        <v>51.0</v>
      </c>
      <c r="N69" s="1" t="s">
        <v>21</v>
      </c>
    </row>
    <row r="70">
      <c r="A70" s="1" t="s">
        <v>173</v>
      </c>
      <c r="B70" s="1" t="s">
        <v>174</v>
      </c>
      <c r="C70" s="3">
        <v>45922.0</v>
      </c>
      <c r="D70" s="1" t="s">
        <v>17</v>
      </c>
      <c r="F70" s="1" t="s">
        <v>57</v>
      </c>
      <c r="G70" s="1">
        <v>1.0</v>
      </c>
      <c r="H70" s="1">
        <v>1499.0</v>
      </c>
      <c r="I70" s="1">
        <v>0.14</v>
      </c>
      <c r="J70" s="1">
        <v>1289.14</v>
      </c>
      <c r="K70" s="1" t="s">
        <v>51</v>
      </c>
      <c r="L70" s="1">
        <v>4.0</v>
      </c>
      <c r="M70" s="1">
        <v>21.0</v>
      </c>
      <c r="N70" s="1" t="s">
        <v>21</v>
      </c>
    </row>
    <row r="71">
      <c r="A71" s="1" t="s">
        <v>175</v>
      </c>
      <c r="B71" s="1" t="s">
        <v>176</v>
      </c>
      <c r="C71" s="3">
        <v>46010.0</v>
      </c>
      <c r="D71" s="1" t="s">
        <v>17</v>
      </c>
      <c r="E71" s="1" t="s">
        <v>111</v>
      </c>
      <c r="F71" s="1" t="s">
        <v>37</v>
      </c>
      <c r="G71" s="1">
        <v>1.0</v>
      </c>
      <c r="H71" s="1">
        <v>1499.0</v>
      </c>
      <c r="I71" s="1">
        <v>0.13</v>
      </c>
      <c r="J71" s="1">
        <v>1304.13</v>
      </c>
      <c r="K71" s="1" t="s">
        <v>33</v>
      </c>
      <c r="L71" s="1">
        <v>3.5</v>
      </c>
      <c r="M71" s="1">
        <v>51.0</v>
      </c>
      <c r="N71" s="1" t="s">
        <v>21</v>
      </c>
    </row>
    <row r="72">
      <c r="A72" s="1" t="s">
        <v>177</v>
      </c>
      <c r="B72" s="1" t="s">
        <v>178</v>
      </c>
      <c r="C72" s="3">
        <v>45879.0</v>
      </c>
      <c r="D72" s="1" t="s">
        <v>41</v>
      </c>
      <c r="E72" s="1" t="s">
        <v>54</v>
      </c>
      <c r="F72" s="1" t="s">
        <v>57</v>
      </c>
      <c r="G72" s="1">
        <v>1.0</v>
      </c>
      <c r="H72" s="1">
        <v>1999.0</v>
      </c>
      <c r="I72" s="1">
        <v>0.15</v>
      </c>
      <c r="J72" s="1">
        <v>1699.15</v>
      </c>
      <c r="K72" s="1" t="s">
        <v>51</v>
      </c>
      <c r="L72" s="1">
        <v>3.8</v>
      </c>
      <c r="M72" s="1">
        <v>23.0</v>
      </c>
      <c r="N72" s="1" t="s">
        <v>21</v>
      </c>
    </row>
    <row r="73">
      <c r="A73" s="1" t="s">
        <v>179</v>
      </c>
      <c r="B73" s="1" t="s">
        <v>180</v>
      </c>
      <c r="C73" s="3">
        <v>45990.0</v>
      </c>
      <c r="D73" s="1" t="s">
        <v>41</v>
      </c>
      <c r="E73" s="1" t="s">
        <v>94</v>
      </c>
      <c r="F73" s="1" t="s">
        <v>19</v>
      </c>
      <c r="G73" s="1">
        <v>1.0</v>
      </c>
      <c r="H73" s="1">
        <v>1999.0</v>
      </c>
      <c r="I73" s="1">
        <v>0.13</v>
      </c>
      <c r="J73" s="1">
        <v>1739.13</v>
      </c>
      <c r="K73" s="1" t="s">
        <v>51</v>
      </c>
      <c r="L73" s="1">
        <v>4.1</v>
      </c>
      <c r="M73" s="1">
        <v>39.0</v>
      </c>
      <c r="N73" s="1" t="s">
        <v>21</v>
      </c>
    </row>
    <row r="74">
      <c r="A74" s="1" t="s">
        <v>181</v>
      </c>
      <c r="B74" s="1" t="s">
        <v>182</v>
      </c>
      <c r="C74" s="3">
        <v>45870.0</v>
      </c>
      <c r="D74" s="1" t="s">
        <v>41</v>
      </c>
      <c r="E74" s="1" t="s">
        <v>54</v>
      </c>
      <c r="F74" s="1" t="s">
        <v>37</v>
      </c>
      <c r="G74" s="1">
        <v>4.0</v>
      </c>
      <c r="H74" s="1">
        <v>249.0</v>
      </c>
      <c r="I74" s="1">
        <v>0.09</v>
      </c>
      <c r="J74" s="1">
        <v>906.36</v>
      </c>
      <c r="K74" s="1" t="s">
        <v>20</v>
      </c>
      <c r="L74" s="1">
        <v>4.4</v>
      </c>
      <c r="M74" s="1">
        <v>29.0</v>
      </c>
      <c r="N74" s="1" t="s">
        <v>21</v>
      </c>
    </row>
    <row r="75">
      <c r="A75" s="1" t="s">
        <v>183</v>
      </c>
      <c r="B75" s="1" t="s">
        <v>184</v>
      </c>
      <c r="C75" s="3">
        <v>45974.0</v>
      </c>
      <c r="D75" s="1" t="s">
        <v>41</v>
      </c>
      <c r="E75" s="1" t="s">
        <v>45</v>
      </c>
      <c r="F75" s="1" t="s">
        <v>37</v>
      </c>
      <c r="G75" s="1">
        <v>2.0</v>
      </c>
      <c r="H75" s="1">
        <v>999.0</v>
      </c>
      <c r="I75" s="1">
        <v>0.1</v>
      </c>
      <c r="J75" s="1">
        <v>1798.2</v>
      </c>
      <c r="K75" s="1" t="s">
        <v>27</v>
      </c>
      <c r="L75" s="1">
        <v>3.5</v>
      </c>
      <c r="M75" s="1">
        <v>18.0</v>
      </c>
      <c r="N75" s="1" t="s">
        <v>21</v>
      </c>
    </row>
    <row r="76">
      <c r="A76" s="1" t="s">
        <v>185</v>
      </c>
      <c r="B76" s="1" t="s">
        <v>186</v>
      </c>
      <c r="C76" s="3">
        <v>45866.0</v>
      </c>
      <c r="D76" s="1" t="s">
        <v>30</v>
      </c>
      <c r="E76" s="1" t="s">
        <v>36</v>
      </c>
      <c r="F76" s="1" t="s">
        <v>26</v>
      </c>
      <c r="G76" s="1">
        <v>4.0</v>
      </c>
      <c r="H76" s="1">
        <v>1499.0</v>
      </c>
      <c r="I76" s="1">
        <v>0.2</v>
      </c>
      <c r="J76" s="1">
        <v>4796.8</v>
      </c>
      <c r="K76" s="1" t="s">
        <v>51</v>
      </c>
      <c r="L76" s="1">
        <v>3.9</v>
      </c>
      <c r="M76" s="1">
        <v>38.0</v>
      </c>
      <c r="N76" s="1" t="s">
        <v>21</v>
      </c>
    </row>
    <row r="77">
      <c r="A77" s="1" t="s">
        <v>187</v>
      </c>
      <c r="B77" s="1" t="s">
        <v>188</v>
      </c>
      <c r="C77" s="3">
        <v>45849.0</v>
      </c>
      <c r="D77" s="1" t="s">
        <v>24</v>
      </c>
      <c r="E77" s="1" t="s">
        <v>117</v>
      </c>
      <c r="F77" s="1" t="s">
        <v>19</v>
      </c>
      <c r="G77" s="1">
        <v>5.0</v>
      </c>
      <c r="H77" s="1">
        <v>299.0</v>
      </c>
      <c r="I77" s="1">
        <v>0.06</v>
      </c>
      <c r="J77" s="1">
        <v>1405.3</v>
      </c>
      <c r="K77" s="1" t="s">
        <v>27</v>
      </c>
      <c r="L77" s="1">
        <v>3.7</v>
      </c>
      <c r="M77" s="1">
        <v>45.0</v>
      </c>
      <c r="N77" s="1" t="s">
        <v>21</v>
      </c>
    </row>
    <row r="78">
      <c r="A78" s="1" t="s">
        <v>189</v>
      </c>
      <c r="B78" s="1" t="s">
        <v>190</v>
      </c>
      <c r="C78" s="3">
        <v>45939.0</v>
      </c>
      <c r="D78" s="1" t="s">
        <v>24</v>
      </c>
      <c r="E78" s="1" t="s">
        <v>25</v>
      </c>
      <c r="F78" s="1" t="s">
        <v>26</v>
      </c>
      <c r="G78" s="1">
        <v>2.0</v>
      </c>
      <c r="H78" s="1">
        <v>149.0</v>
      </c>
      <c r="I78" s="1">
        <v>0.12</v>
      </c>
      <c r="J78" s="1">
        <v>262.24</v>
      </c>
      <c r="K78" s="1" t="s">
        <v>20</v>
      </c>
      <c r="L78" s="1">
        <v>3.2</v>
      </c>
      <c r="M78" s="1">
        <v>39.0</v>
      </c>
      <c r="N78" s="1" t="s">
        <v>21</v>
      </c>
    </row>
    <row r="79">
      <c r="A79" s="1" t="s">
        <v>191</v>
      </c>
      <c r="B79" s="1" t="s">
        <v>192</v>
      </c>
      <c r="C79" s="3">
        <v>45858.0</v>
      </c>
      <c r="D79" s="1" t="s">
        <v>41</v>
      </c>
      <c r="E79" s="1" t="s">
        <v>54</v>
      </c>
      <c r="F79" s="1" t="s">
        <v>26</v>
      </c>
      <c r="G79" s="1">
        <v>3.0</v>
      </c>
      <c r="H79" s="1">
        <v>499.0</v>
      </c>
      <c r="I79" s="1">
        <v>0.09</v>
      </c>
      <c r="J79" s="1">
        <v>1362.27</v>
      </c>
      <c r="K79" s="1" t="s">
        <v>33</v>
      </c>
      <c r="L79" s="1">
        <v>5.0</v>
      </c>
      <c r="M79" s="1">
        <v>49.0</v>
      </c>
      <c r="N79" s="1" t="s">
        <v>21</v>
      </c>
    </row>
    <row r="80">
      <c r="A80" s="1" t="s">
        <v>193</v>
      </c>
      <c r="B80" s="1" t="s">
        <v>194</v>
      </c>
      <c r="C80" s="3">
        <v>45856.0</v>
      </c>
      <c r="D80" s="1" t="s">
        <v>30</v>
      </c>
      <c r="E80" s="1" t="s">
        <v>86</v>
      </c>
      <c r="F80" s="1" t="s">
        <v>37</v>
      </c>
      <c r="G80" s="1">
        <v>1.0</v>
      </c>
      <c r="H80" s="1">
        <v>199.0</v>
      </c>
      <c r="I80" s="1">
        <v>0.25</v>
      </c>
      <c r="J80" s="1">
        <v>149.25</v>
      </c>
      <c r="K80" s="1" t="s">
        <v>33</v>
      </c>
      <c r="L80" s="1">
        <v>3.4</v>
      </c>
      <c r="M80" s="1">
        <v>31.0</v>
      </c>
      <c r="N80" s="1" t="s">
        <v>38</v>
      </c>
    </row>
    <row r="81">
      <c r="A81" s="1" t="s">
        <v>195</v>
      </c>
      <c r="B81" s="1" t="s">
        <v>196</v>
      </c>
      <c r="C81" s="3">
        <v>45917.0</v>
      </c>
      <c r="D81" s="1" t="s">
        <v>30</v>
      </c>
      <c r="E81" s="1" t="s">
        <v>36</v>
      </c>
      <c r="F81" s="1" t="s">
        <v>26</v>
      </c>
      <c r="G81" s="1">
        <v>2.0</v>
      </c>
      <c r="H81" s="1">
        <v>99.0</v>
      </c>
      <c r="I81" s="1">
        <v>0.08</v>
      </c>
      <c r="J81" s="1">
        <v>182.16</v>
      </c>
      <c r="K81" s="1" t="s">
        <v>51</v>
      </c>
      <c r="L81" s="1">
        <v>3.4</v>
      </c>
      <c r="M81" s="1">
        <v>32.0</v>
      </c>
      <c r="N81" s="1" t="s">
        <v>21</v>
      </c>
    </row>
    <row r="82">
      <c r="A82" s="1" t="s">
        <v>197</v>
      </c>
      <c r="B82" s="1" t="s">
        <v>160</v>
      </c>
      <c r="C82" s="3">
        <v>45946.0</v>
      </c>
      <c r="D82" s="1" t="s">
        <v>41</v>
      </c>
      <c r="E82" s="1" t="s">
        <v>42</v>
      </c>
      <c r="F82" s="1" t="s">
        <v>37</v>
      </c>
      <c r="G82" s="1">
        <v>2.0</v>
      </c>
      <c r="H82" s="1">
        <v>1999.0</v>
      </c>
      <c r="I82" s="1">
        <v>0.03</v>
      </c>
      <c r="J82" s="1">
        <v>3878.06</v>
      </c>
      <c r="K82" s="1" t="s">
        <v>27</v>
      </c>
      <c r="L82" s="1">
        <v>4.7</v>
      </c>
      <c r="M82" s="1">
        <v>30.0</v>
      </c>
      <c r="N82" s="1" t="s">
        <v>21</v>
      </c>
    </row>
    <row r="83">
      <c r="A83" s="1" t="s">
        <v>198</v>
      </c>
      <c r="B83" s="1" t="s">
        <v>199</v>
      </c>
      <c r="C83" s="3">
        <v>45999.0</v>
      </c>
      <c r="D83" s="1" t="s">
        <v>41</v>
      </c>
      <c r="E83" s="1" t="s">
        <v>94</v>
      </c>
      <c r="F83" s="1" t="s">
        <v>37</v>
      </c>
      <c r="G83" s="1">
        <v>1.0</v>
      </c>
      <c r="H83" s="1">
        <v>199.0</v>
      </c>
      <c r="I83" s="1">
        <v>0.24</v>
      </c>
      <c r="J83" s="1">
        <v>151.24</v>
      </c>
      <c r="K83" s="1" t="s">
        <v>51</v>
      </c>
      <c r="L83" s="1">
        <v>4.9</v>
      </c>
      <c r="M83" s="1">
        <v>25.0</v>
      </c>
      <c r="N83" s="1" t="s">
        <v>21</v>
      </c>
    </row>
    <row r="84">
      <c r="A84" s="1" t="s">
        <v>200</v>
      </c>
      <c r="B84" s="1" t="s">
        <v>201</v>
      </c>
      <c r="C84" s="3">
        <v>45883.0</v>
      </c>
      <c r="D84" s="1" t="s">
        <v>41</v>
      </c>
      <c r="E84" s="1" t="s">
        <v>45</v>
      </c>
      <c r="F84" s="1" t="s">
        <v>57</v>
      </c>
      <c r="G84" s="1">
        <v>2.0</v>
      </c>
      <c r="H84" s="1">
        <v>999.0</v>
      </c>
      <c r="I84" s="1">
        <v>0.15</v>
      </c>
      <c r="J84" s="1">
        <v>1698.3</v>
      </c>
      <c r="K84" s="1" t="s">
        <v>33</v>
      </c>
      <c r="L84" s="1">
        <v>4.0</v>
      </c>
      <c r="M84" s="1">
        <v>32.0</v>
      </c>
      <c r="N84" s="1" t="s">
        <v>21</v>
      </c>
    </row>
    <row r="85">
      <c r="A85" s="1" t="s">
        <v>202</v>
      </c>
      <c r="B85" s="1" t="s">
        <v>203</v>
      </c>
      <c r="C85" s="3">
        <v>45926.0</v>
      </c>
      <c r="D85" s="1" t="s">
        <v>24</v>
      </c>
      <c r="E85" s="1" t="s">
        <v>140</v>
      </c>
      <c r="F85" s="1" t="s">
        <v>65</v>
      </c>
      <c r="G85" s="1">
        <v>2.0</v>
      </c>
      <c r="H85" s="1">
        <v>249.0</v>
      </c>
      <c r="I85" s="1">
        <v>0.11</v>
      </c>
      <c r="J85" s="1">
        <v>443.22</v>
      </c>
      <c r="K85" s="1" t="s">
        <v>20</v>
      </c>
      <c r="L85" s="1">
        <v>4.4</v>
      </c>
      <c r="M85" s="1">
        <v>22.0</v>
      </c>
      <c r="N85" s="1" t="s">
        <v>21</v>
      </c>
    </row>
    <row r="86">
      <c r="A86" s="1" t="s">
        <v>204</v>
      </c>
      <c r="B86" s="1" t="s">
        <v>205</v>
      </c>
      <c r="C86" s="3">
        <v>45944.0</v>
      </c>
      <c r="D86" s="1" t="s">
        <v>17</v>
      </c>
      <c r="E86" s="1" t="s">
        <v>18</v>
      </c>
      <c r="F86" s="1" t="s">
        <v>37</v>
      </c>
      <c r="G86" s="1">
        <v>1.0</v>
      </c>
      <c r="H86" s="1">
        <v>999.0</v>
      </c>
      <c r="I86" s="1">
        <v>0.21</v>
      </c>
      <c r="J86" s="1">
        <v>789.21</v>
      </c>
      <c r="K86" s="1" t="s">
        <v>20</v>
      </c>
      <c r="L86" s="1">
        <v>4.2</v>
      </c>
      <c r="M86" s="1">
        <v>54.0</v>
      </c>
      <c r="N86" s="1" t="s">
        <v>21</v>
      </c>
    </row>
    <row r="87">
      <c r="A87" s="1" t="s">
        <v>206</v>
      </c>
      <c r="B87" s="1" t="s">
        <v>35</v>
      </c>
      <c r="C87" s="3">
        <v>45908.0</v>
      </c>
      <c r="D87" s="1" t="s">
        <v>30</v>
      </c>
      <c r="E87" s="1" t="s">
        <v>36</v>
      </c>
      <c r="F87" s="1" t="s">
        <v>26</v>
      </c>
      <c r="G87" s="1">
        <v>1.0</v>
      </c>
      <c r="H87" s="1">
        <v>499.0</v>
      </c>
      <c r="I87" s="1">
        <v>0.1</v>
      </c>
      <c r="J87" s="1">
        <v>449.1</v>
      </c>
      <c r="K87" s="1" t="s">
        <v>27</v>
      </c>
      <c r="L87" s="1">
        <v>4.0</v>
      </c>
      <c r="M87" s="1">
        <v>32.0</v>
      </c>
      <c r="N87" s="1" t="s">
        <v>21</v>
      </c>
    </row>
    <row r="88">
      <c r="A88" s="1" t="s">
        <v>207</v>
      </c>
      <c r="B88" s="1" t="s">
        <v>208</v>
      </c>
      <c r="C88" s="3">
        <v>45981.0</v>
      </c>
      <c r="D88" s="1" t="s">
        <v>24</v>
      </c>
      <c r="E88" s="1" t="s">
        <v>25</v>
      </c>
      <c r="F88" s="1" t="s">
        <v>19</v>
      </c>
      <c r="G88" s="1">
        <v>4.0</v>
      </c>
      <c r="H88" s="1">
        <v>199.0</v>
      </c>
      <c r="I88" s="1">
        <v>0.15</v>
      </c>
      <c r="J88" s="1">
        <v>676.6</v>
      </c>
      <c r="K88" s="1" t="s">
        <v>27</v>
      </c>
      <c r="L88" s="1">
        <v>3.8</v>
      </c>
      <c r="M88" s="1">
        <v>42.0</v>
      </c>
      <c r="N88" s="1" t="s">
        <v>21</v>
      </c>
    </row>
    <row r="89">
      <c r="A89" s="1" t="s">
        <v>209</v>
      </c>
      <c r="B89" s="1" t="s">
        <v>210</v>
      </c>
      <c r="C89" s="3">
        <v>45934.0</v>
      </c>
      <c r="D89" s="1" t="s">
        <v>30</v>
      </c>
      <c r="E89" s="1" t="s">
        <v>70</v>
      </c>
      <c r="F89" s="1" t="s">
        <v>57</v>
      </c>
      <c r="G89" s="1">
        <v>3.0</v>
      </c>
      <c r="H89" s="1">
        <v>49.0</v>
      </c>
      <c r="I89" s="1">
        <v>0.03</v>
      </c>
      <c r="J89" s="1">
        <v>142.59</v>
      </c>
      <c r="K89" s="1" t="s">
        <v>20</v>
      </c>
      <c r="L89" s="1">
        <v>4.5</v>
      </c>
      <c r="M89" s="1">
        <v>33.0</v>
      </c>
      <c r="N89" s="1" t="s">
        <v>21</v>
      </c>
    </row>
    <row r="90">
      <c r="A90" s="1" t="s">
        <v>211</v>
      </c>
      <c r="B90" s="1" t="s">
        <v>212</v>
      </c>
      <c r="C90" s="3">
        <v>45894.0</v>
      </c>
      <c r="D90" s="1" t="s">
        <v>17</v>
      </c>
      <c r="E90" s="1" t="s">
        <v>64</v>
      </c>
      <c r="F90" s="1" t="s">
        <v>26</v>
      </c>
      <c r="G90" s="1">
        <v>1.0</v>
      </c>
      <c r="H90" s="1">
        <v>199.0</v>
      </c>
      <c r="I90" s="1">
        <v>0.11</v>
      </c>
      <c r="J90" s="1">
        <v>177.11</v>
      </c>
      <c r="K90" s="1" t="s">
        <v>51</v>
      </c>
      <c r="L90" s="1">
        <v>4.9</v>
      </c>
      <c r="M90" s="1">
        <v>59.0</v>
      </c>
      <c r="N90" s="1" t="s">
        <v>21</v>
      </c>
    </row>
    <row r="91">
      <c r="A91" s="1" t="s">
        <v>213</v>
      </c>
      <c r="B91" s="1" t="s">
        <v>214</v>
      </c>
      <c r="C91" s="3">
        <v>46019.0</v>
      </c>
      <c r="D91" s="1" t="s">
        <v>17</v>
      </c>
      <c r="E91" s="1" t="s">
        <v>18</v>
      </c>
      <c r="F91" s="1" t="s">
        <v>32</v>
      </c>
      <c r="G91" s="1">
        <v>1.0</v>
      </c>
      <c r="H91" s="1">
        <v>149.0</v>
      </c>
      <c r="I91" s="1">
        <v>0.04</v>
      </c>
      <c r="J91" s="1">
        <v>143.04</v>
      </c>
      <c r="K91" s="1" t="s">
        <v>27</v>
      </c>
      <c r="L91" s="1">
        <v>3.1</v>
      </c>
      <c r="M91" s="1">
        <v>24.0</v>
      </c>
      <c r="N91" s="1" t="s">
        <v>21</v>
      </c>
    </row>
    <row r="92">
      <c r="A92" s="1" t="s">
        <v>215</v>
      </c>
      <c r="B92" s="1" t="s">
        <v>216</v>
      </c>
      <c r="C92" s="3">
        <v>46020.0</v>
      </c>
      <c r="D92" s="1" t="s">
        <v>17</v>
      </c>
      <c r="E92" s="1" t="s">
        <v>18</v>
      </c>
      <c r="F92" s="1" t="s">
        <v>37</v>
      </c>
      <c r="G92" s="1">
        <v>2.0</v>
      </c>
      <c r="H92" s="1">
        <v>999.0</v>
      </c>
      <c r="I92" s="1">
        <v>0.1</v>
      </c>
      <c r="J92" s="1">
        <v>1798.2</v>
      </c>
      <c r="K92" s="1" t="s">
        <v>33</v>
      </c>
      <c r="L92" s="1">
        <v>4.1</v>
      </c>
      <c r="M92" s="1">
        <v>40.0</v>
      </c>
      <c r="N92" s="1" t="s">
        <v>21</v>
      </c>
    </row>
    <row r="93">
      <c r="A93" s="1" t="s">
        <v>217</v>
      </c>
      <c r="B93" s="1" t="s">
        <v>218</v>
      </c>
      <c r="C93" s="3">
        <v>45855.0</v>
      </c>
      <c r="D93" s="1" t="s">
        <v>24</v>
      </c>
      <c r="E93" s="1" t="s">
        <v>140</v>
      </c>
      <c r="F93" s="1" t="s">
        <v>57</v>
      </c>
      <c r="G93" s="1">
        <v>2.0</v>
      </c>
      <c r="H93" s="1">
        <v>699.0</v>
      </c>
      <c r="I93" s="1">
        <v>0.0</v>
      </c>
      <c r="J93" s="1">
        <v>1398.0</v>
      </c>
      <c r="K93" s="1" t="s">
        <v>33</v>
      </c>
      <c r="L93" s="1">
        <v>3.0</v>
      </c>
      <c r="M93" s="1">
        <v>37.0</v>
      </c>
      <c r="N93" s="1" t="s">
        <v>21</v>
      </c>
    </row>
    <row r="94">
      <c r="A94" s="1" t="s">
        <v>219</v>
      </c>
      <c r="B94" s="1" t="s">
        <v>56</v>
      </c>
      <c r="C94" s="3">
        <v>45895.0</v>
      </c>
      <c r="D94" s="1" t="s">
        <v>17</v>
      </c>
      <c r="E94" s="1" t="s">
        <v>18</v>
      </c>
      <c r="F94" s="1" t="s">
        <v>32</v>
      </c>
      <c r="G94" s="1">
        <v>1.0</v>
      </c>
      <c r="H94" s="1">
        <v>1999.0</v>
      </c>
      <c r="I94" s="1">
        <v>0.1</v>
      </c>
      <c r="J94" s="1">
        <v>1799.1</v>
      </c>
      <c r="L94" s="1">
        <v>4.9</v>
      </c>
      <c r="M94" s="1">
        <v>36.0</v>
      </c>
      <c r="N94" s="1" t="s">
        <v>21</v>
      </c>
    </row>
    <row r="95">
      <c r="A95" s="1" t="s">
        <v>220</v>
      </c>
      <c r="B95" s="1" t="s">
        <v>221</v>
      </c>
      <c r="C95" s="3">
        <v>45970.0</v>
      </c>
      <c r="D95" s="1" t="s">
        <v>30</v>
      </c>
      <c r="E95" s="1" t="s">
        <v>70</v>
      </c>
      <c r="F95" s="1" t="s">
        <v>19</v>
      </c>
      <c r="G95" s="1">
        <v>1.0</v>
      </c>
      <c r="H95" s="1">
        <v>99.0</v>
      </c>
      <c r="I95" s="1">
        <v>0.13</v>
      </c>
      <c r="J95" s="1">
        <v>86.13</v>
      </c>
      <c r="K95" s="1" t="s">
        <v>20</v>
      </c>
      <c r="L95" s="1">
        <v>3.4</v>
      </c>
      <c r="M95" s="1">
        <v>44.0</v>
      </c>
      <c r="N95" s="1" t="s">
        <v>21</v>
      </c>
    </row>
    <row r="96">
      <c r="A96" s="1" t="s">
        <v>222</v>
      </c>
      <c r="B96" s="1" t="s">
        <v>223</v>
      </c>
      <c r="C96" s="3">
        <v>45870.0</v>
      </c>
      <c r="D96" s="1" t="s">
        <v>30</v>
      </c>
      <c r="E96" s="1" t="s">
        <v>86</v>
      </c>
      <c r="F96" s="1" t="s">
        <v>32</v>
      </c>
      <c r="G96" s="1">
        <v>3.0</v>
      </c>
      <c r="H96" s="1">
        <v>299.0</v>
      </c>
      <c r="I96" s="1">
        <v>0.15</v>
      </c>
      <c r="J96" s="1">
        <v>762.45</v>
      </c>
      <c r="K96" s="1" t="s">
        <v>51</v>
      </c>
      <c r="L96" s="1">
        <v>5.0</v>
      </c>
      <c r="M96" s="1">
        <v>33.0</v>
      </c>
      <c r="N96" s="1" t="s">
        <v>21</v>
      </c>
    </row>
    <row r="97">
      <c r="A97" s="1" t="s">
        <v>224</v>
      </c>
      <c r="B97" s="1" t="s">
        <v>225</v>
      </c>
      <c r="C97" s="3">
        <v>45882.0</v>
      </c>
      <c r="D97" s="1" t="s">
        <v>17</v>
      </c>
      <c r="E97" s="1" t="s">
        <v>64</v>
      </c>
      <c r="F97" s="1" t="s">
        <v>26</v>
      </c>
      <c r="G97" s="1">
        <v>1.0</v>
      </c>
      <c r="H97" s="1">
        <v>49.0</v>
      </c>
      <c r="I97" s="1">
        <v>0.06</v>
      </c>
      <c r="J97" s="1">
        <v>46.06</v>
      </c>
      <c r="K97" s="1" t="s">
        <v>27</v>
      </c>
      <c r="L97" s="1">
        <v>5.0</v>
      </c>
      <c r="M97" s="1">
        <v>46.0</v>
      </c>
      <c r="N97" s="1" t="s">
        <v>21</v>
      </c>
    </row>
    <row r="98">
      <c r="A98" s="1" t="s">
        <v>226</v>
      </c>
      <c r="B98" s="1" t="s">
        <v>227</v>
      </c>
      <c r="C98" s="3">
        <v>45992.0</v>
      </c>
      <c r="D98" s="1" t="s">
        <v>24</v>
      </c>
      <c r="E98" s="1" t="s">
        <v>48</v>
      </c>
      <c r="F98" s="1" t="s">
        <v>32</v>
      </c>
      <c r="G98" s="1">
        <v>2.0</v>
      </c>
      <c r="H98" s="1">
        <v>299.0</v>
      </c>
      <c r="I98" s="1">
        <v>0.09</v>
      </c>
      <c r="J98" s="1">
        <v>544.18</v>
      </c>
      <c r="K98" s="1" t="s">
        <v>20</v>
      </c>
      <c r="L98" s="1">
        <v>3.8</v>
      </c>
      <c r="M98" s="1">
        <v>35.0</v>
      </c>
      <c r="N98" s="1" t="s">
        <v>21</v>
      </c>
    </row>
    <row r="99">
      <c r="A99" s="1" t="s">
        <v>228</v>
      </c>
      <c r="B99" s="1" t="s">
        <v>229</v>
      </c>
      <c r="C99" s="3">
        <v>45983.0</v>
      </c>
      <c r="D99" s="1" t="s">
        <v>24</v>
      </c>
      <c r="E99" s="1" t="s">
        <v>140</v>
      </c>
      <c r="F99" s="1" t="s">
        <v>32</v>
      </c>
      <c r="G99" s="1">
        <v>2.0</v>
      </c>
      <c r="H99" s="1">
        <v>499.0</v>
      </c>
      <c r="I99" s="1">
        <v>0.07</v>
      </c>
      <c r="J99" s="1">
        <v>928.14</v>
      </c>
      <c r="K99" s="1" t="s">
        <v>27</v>
      </c>
      <c r="L99" s="1">
        <v>4.6</v>
      </c>
      <c r="M99" s="1">
        <v>33.0</v>
      </c>
      <c r="N99" s="1" t="s">
        <v>21</v>
      </c>
    </row>
    <row r="100">
      <c r="A100" s="1" t="s">
        <v>230</v>
      </c>
      <c r="B100" s="1" t="s">
        <v>231</v>
      </c>
      <c r="C100" s="3">
        <v>45924.0</v>
      </c>
      <c r="D100" s="1" t="s">
        <v>30</v>
      </c>
      <c r="E100" s="1" t="s">
        <v>31</v>
      </c>
      <c r="F100" s="1" t="s">
        <v>65</v>
      </c>
      <c r="G100" s="1">
        <v>2.0</v>
      </c>
      <c r="H100" s="1">
        <v>699.0</v>
      </c>
      <c r="I100" s="1">
        <v>0.15</v>
      </c>
      <c r="J100" s="1">
        <v>1188.3</v>
      </c>
      <c r="K100" s="1" t="s">
        <v>33</v>
      </c>
      <c r="L100" s="1">
        <v>4.1</v>
      </c>
      <c r="M100" s="1">
        <v>25.0</v>
      </c>
      <c r="N100" s="1" t="s">
        <v>21</v>
      </c>
    </row>
    <row r="101">
      <c r="A101" s="1" t="s">
        <v>232</v>
      </c>
      <c r="B101" s="1" t="s">
        <v>233</v>
      </c>
      <c r="C101" s="3">
        <v>45963.0</v>
      </c>
      <c r="D101" s="1" t="s">
        <v>17</v>
      </c>
      <c r="E101" s="1" t="s">
        <v>111</v>
      </c>
      <c r="F101" s="1" t="s">
        <v>65</v>
      </c>
      <c r="G101" s="1">
        <v>4.0</v>
      </c>
      <c r="H101" s="1">
        <v>999.0</v>
      </c>
      <c r="I101" s="1">
        <v>0.33</v>
      </c>
      <c r="J101" s="1">
        <v>2677.32</v>
      </c>
      <c r="K101" s="1" t="s">
        <v>51</v>
      </c>
      <c r="L101" s="1">
        <v>3.7</v>
      </c>
      <c r="M101" s="1">
        <v>48.0</v>
      </c>
      <c r="N101" s="1" t="s">
        <v>21</v>
      </c>
    </row>
    <row r="102">
      <c r="A102" s="1" t="s">
        <v>234</v>
      </c>
      <c r="B102" s="1" t="s">
        <v>170</v>
      </c>
      <c r="C102" s="3">
        <v>45869.0</v>
      </c>
      <c r="D102" s="1" t="s">
        <v>30</v>
      </c>
      <c r="F102" s="1" t="s">
        <v>37</v>
      </c>
      <c r="G102" s="1">
        <v>2.0</v>
      </c>
      <c r="H102" s="1">
        <v>1999.0</v>
      </c>
      <c r="I102" s="1">
        <v>0.0</v>
      </c>
      <c r="J102" s="1">
        <v>3998.0</v>
      </c>
      <c r="K102" s="1" t="s">
        <v>33</v>
      </c>
      <c r="L102" s="1">
        <v>4.4</v>
      </c>
      <c r="M102" s="1">
        <v>47.0</v>
      </c>
      <c r="N102" s="1" t="s">
        <v>21</v>
      </c>
    </row>
    <row r="103">
      <c r="A103" s="1" t="s">
        <v>235</v>
      </c>
      <c r="B103" s="1" t="s">
        <v>59</v>
      </c>
      <c r="C103" s="3">
        <v>45906.0</v>
      </c>
      <c r="D103" s="1" t="s">
        <v>41</v>
      </c>
      <c r="E103" s="1" t="s">
        <v>54</v>
      </c>
      <c r="F103" s="1" t="s">
        <v>65</v>
      </c>
      <c r="G103" s="1">
        <v>1.0</v>
      </c>
      <c r="H103" s="1">
        <v>99.0</v>
      </c>
      <c r="I103" s="1">
        <v>0.19</v>
      </c>
      <c r="J103" s="1">
        <v>80.19</v>
      </c>
      <c r="K103" s="1" t="s">
        <v>33</v>
      </c>
      <c r="L103" s="1">
        <v>4.4</v>
      </c>
      <c r="M103" s="1">
        <v>36.0</v>
      </c>
      <c r="N103" s="1" t="s">
        <v>21</v>
      </c>
    </row>
    <row r="104">
      <c r="A104" s="1" t="s">
        <v>236</v>
      </c>
      <c r="B104" s="1" t="s">
        <v>237</v>
      </c>
      <c r="C104" s="3">
        <v>45990.0</v>
      </c>
      <c r="D104" s="1" t="s">
        <v>41</v>
      </c>
      <c r="E104" s="1" t="s">
        <v>45</v>
      </c>
      <c r="F104" s="1" t="s">
        <v>57</v>
      </c>
      <c r="G104" s="1">
        <v>2.0</v>
      </c>
      <c r="H104" s="1">
        <v>149.0</v>
      </c>
      <c r="I104" s="1">
        <v>0.08</v>
      </c>
      <c r="J104" s="1">
        <v>274.16</v>
      </c>
      <c r="K104" s="1" t="s">
        <v>27</v>
      </c>
      <c r="L104" s="1">
        <v>3.2</v>
      </c>
      <c r="M104" s="1">
        <v>43.0</v>
      </c>
      <c r="N104" s="1" t="s">
        <v>21</v>
      </c>
    </row>
    <row r="105">
      <c r="A105" s="1" t="s">
        <v>238</v>
      </c>
      <c r="B105" s="1" t="s">
        <v>239</v>
      </c>
      <c r="C105" s="3">
        <v>45915.0</v>
      </c>
      <c r="D105" s="1" t="s">
        <v>41</v>
      </c>
      <c r="E105" s="1" t="s">
        <v>54</v>
      </c>
      <c r="F105" s="1" t="s">
        <v>65</v>
      </c>
      <c r="G105" s="1">
        <v>3.0</v>
      </c>
      <c r="H105" s="1">
        <v>999.0</v>
      </c>
      <c r="I105" s="1">
        <v>0.09</v>
      </c>
      <c r="J105" s="1">
        <v>2727.27</v>
      </c>
      <c r="K105" s="1" t="s">
        <v>51</v>
      </c>
      <c r="L105" s="1">
        <v>2.4</v>
      </c>
      <c r="M105" s="1">
        <v>44.0</v>
      </c>
      <c r="N105" s="1" t="s">
        <v>21</v>
      </c>
    </row>
    <row r="106">
      <c r="A106" s="1" t="s">
        <v>240</v>
      </c>
      <c r="B106" s="1" t="s">
        <v>241</v>
      </c>
      <c r="C106" s="3">
        <v>45960.0</v>
      </c>
      <c r="D106" s="1" t="s">
        <v>24</v>
      </c>
      <c r="E106" s="1" t="s">
        <v>140</v>
      </c>
      <c r="F106" s="1" t="s">
        <v>57</v>
      </c>
      <c r="G106" s="1">
        <v>1.0</v>
      </c>
      <c r="H106" s="1">
        <v>249.0</v>
      </c>
      <c r="I106" s="1">
        <v>0.11</v>
      </c>
      <c r="J106" s="1">
        <v>221.61</v>
      </c>
      <c r="K106" s="1" t="s">
        <v>20</v>
      </c>
      <c r="L106" s="1">
        <v>4.6</v>
      </c>
      <c r="M106" s="1">
        <v>35.0</v>
      </c>
      <c r="N106" s="1" t="s">
        <v>21</v>
      </c>
    </row>
    <row r="107">
      <c r="A107" s="1" t="s">
        <v>242</v>
      </c>
      <c r="B107" s="1" t="s">
        <v>243</v>
      </c>
      <c r="C107" s="3">
        <v>45915.0</v>
      </c>
      <c r="D107" s="1" t="s">
        <v>30</v>
      </c>
      <c r="E107" s="1" t="s">
        <v>36</v>
      </c>
      <c r="F107" s="1" t="s">
        <v>37</v>
      </c>
      <c r="G107" s="1">
        <v>5.0</v>
      </c>
      <c r="H107" s="1">
        <v>999.0</v>
      </c>
      <c r="I107" s="1">
        <v>0.12</v>
      </c>
      <c r="J107" s="1">
        <v>4395.6</v>
      </c>
      <c r="K107" s="1" t="s">
        <v>51</v>
      </c>
      <c r="L107" s="1">
        <v>5.0</v>
      </c>
      <c r="M107" s="1">
        <v>24.0</v>
      </c>
      <c r="N107" s="1" t="s">
        <v>21</v>
      </c>
    </row>
    <row r="108">
      <c r="A108" s="1" t="s">
        <v>244</v>
      </c>
      <c r="B108" s="1" t="s">
        <v>245</v>
      </c>
      <c r="C108" s="3">
        <v>45902.0</v>
      </c>
      <c r="D108" s="1" t="s">
        <v>24</v>
      </c>
      <c r="E108" s="1" t="s">
        <v>48</v>
      </c>
      <c r="F108" s="1" t="s">
        <v>26</v>
      </c>
      <c r="G108" s="1">
        <v>4.0</v>
      </c>
      <c r="H108" s="1">
        <v>1499.0</v>
      </c>
      <c r="I108" s="1">
        <v>0.08</v>
      </c>
      <c r="J108" s="1">
        <v>5516.32</v>
      </c>
      <c r="K108" s="1" t="s">
        <v>33</v>
      </c>
      <c r="L108" s="1">
        <v>4.7</v>
      </c>
      <c r="M108" s="1">
        <v>35.0</v>
      </c>
      <c r="N108" s="1" t="s">
        <v>21</v>
      </c>
    </row>
    <row r="109">
      <c r="A109" s="1" t="s">
        <v>246</v>
      </c>
      <c r="B109" s="1" t="s">
        <v>247</v>
      </c>
      <c r="C109" s="3">
        <v>45906.0</v>
      </c>
      <c r="D109" s="1" t="s">
        <v>30</v>
      </c>
      <c r="E109" s="1" t="s">
        <v>86</v>
      </c>
      <c r="F109" s="1" t="s">
        <v>57</v>
      </c>
      <c r="G109" s="1">
        <v>1.0</v>
      </c>
      <c r="H109" s="1">
        <v>149.0</v>
      </c>
      <c r="I109" s="1">
        <v>0.08</v>
      </c>
      <c r="J109" s="1">
        <v>137.08</v>
      </c>
      <c r="K109" s="1" t="s">
        <v>51</v>
      </c>
      <c r="L109" s="1">
        <v>5.0</v>
      </c>
      <c r="M109" s="1">
        <v>46.0</v>
      </c>
      <c r="N109" s="1" t="s">
        <v>21</v>
      </c>
    </row>
    <row r="110">
      <c r="A110" s="1" t="s">
        <v>248</v>
      </c>
      <c r="B110" s="1" t="s">
        <v>249</v>
      </c>
      <c r="C110" s="3">
        <v>45852.0</v>
      </c>
      <c r="D110" s="1" t="s">
        <v>30</v>
      </c>
      <c r="E110" s="1" t="s">
        <v>70</v>
      </c>
      <c r="F110" s="1" t="s">
        <v>19</v>
      </c>
      <c r="G110" s="1">
        <v>1.0</v>
      </c>
      <c r="H110" s="1">
        <v>1999.0</v>
      </c>
      <c r="I110" s="1">
        <v>0.16</v>
      </c>
      <c r="J110" s="1">
        <v>1679.16</v>
      </c>
      <c r="K110" s="1" t="s">
        <v>20</v>
      </c>
      <c r="L110" s="1">
        <v>3.1</v>
      </c>
      <c r="M110" s="1">
        <v>25.0</v>
      </c>
      <c r="N110" s="1" t="s">
        <v>21</v>
      </c>
    </row>
    <row r="111">
      <c r="A111" s="1" t="s">
        <v>250</v>
      </c>
      <c r="B111" s="1" t="s">
        <v>174</v>
      </c>
      <c r="C111" s="3">
        <v>45985.0</v>
      </c>
      <c r="D111" s="1" t="s">
        <v>41</v>
      </c>
      <c r="E111" s="1" t="s">
        <v>45</v>
      </c>
      <c r="F111" s="1" t="s">
        <v>65</v>
      </c>
      <c r="G111" s="1">
        <v>1.0</v>
      </c>
      <c r="H111" s="1">
        <v>199.0</v>
      </c>
      <c r="I111" s="1">
        <v>0.04</v>
      </c>
      <c r="J111" s="1">
        <v>191.04</v>
      </c>
      <c r="K111" s="1" t="s">
        <v>27</v>
      </c>
      <c r="L111" s="1">
        <v>3.0</v>
      </c>
      <c r="M111" s="1">
        <v>39.0</v>
      </c>
      <c r="N111" s="1" t="s">
        <v>21</v>
      </c>
    </row>
    <row r="112">
      <c r="A112" s="1" t="s">
        <v>251</v>
      </c>
      <c r="B112" s="1" t="s">
        <v>252</v>
      </c>
      <c r="C112" s="3">
        <v>46015.0</v>
      </c>
      <c r="D112" s="1" t="s">
        <v>41</v>
      </c>
      <c r="E112" s="1" t="s">
        <v>45</v>
      </c>
      <c r="F112" s="1" t="s">
        <v>57</v>
      </c>
      <c r="G112" s="1">
        <v>4.0</v>
      </c>
      <c r="H112" s="1">
        <v>99.0</v>
      </c>
      <c r="I112" s="1">
        <v>0.18</v>
      </c>
      <c r="J112" s="1">
        <v>324.72</v>
      </c>
      <c r="K112" s="1" t="s">
        <v>20</v>
      </c>
      <c r="L112" s="1">
        <v>3.6</v>
      </c>
      <c r="M112" s="1">
        <v>51.0</v>
      </c>
      <c r="N112" s="1" t="s">
        <v>21</v>
      </c>
    </row>
    <row r="113">
      <c r="A113" s="1" t="s">
        <v>253</v>
      </c>
      <c r="B113" s="1" t="s">
        <v>205</v>
      </c>
      <c r="C113" s="3">
        <v>45974.0</v>
      </c>
      <c r="D113" s="1" t="s">
        <v>30</v>
      </c>
      <c r="E113" s="1" t="s">
        <v>70</v>
      </c>
      <c r="F113" s="1" t="s">
        <v>57</v>
      </c>
      <c r="G113" s="1">
        <v>1.0</v>
      </c>
      <c r="H113" s="1">
        <v>499.0</v>
      </c>
      <c r="I113" s="1">
        <v>0.2</v>
      </c>
      <c r="J113" s="1">
        <v>399.2</v>
      </c>
      <c r="K113" s="1" t="s">
        <v>33</v>
      </c>
      <c r="L113" s="1">
        <v>4.0</v>
      </c>
      <c r="M113" s="1">
        <v>25.0</v>
      </c>
      <c r="N113" s="1" t="s">
        <v>21</v>
      </c>
    </row>
    <row r="114">
      <c r="A114" s="1" t="s">
        <v>254</v>
      </c>
      <c r="B114" s="1" t="s">
        <v>255</v>
      </c>
      <c r="C114" s="3">
        <v>45864.0</v>
      </c>
      <c r="D114" s="1" t="s">
        <v>41</v>
      </c>
      <c r="E114" s="1" t="s">
        <v>54</v>
      </c>
      <c r="F114" s="1" t="s">
        <v>26</v>
      </c>
      <c r="G114" s="1">
        <v>1.0</v>
      </c>
      <c r="H114" s="1">
        <v>199.0</v>
      </c>
      <c r="I114" s="1">
        <v>0.12</v>
      </c>
      <c r="J114" s="1">
        <v>175.12</v>
      </c>
      <c r="K114" s="1" t="s">
        <v>51</v>
      </c>
      <c r="L114" s="1">
        <v>4.6</v>
      </c>
      <c r="M114" s="1">
        <v>23.0</v>
      </c>
      <c r="N114" s="1" t="s">
        <v>21</v>
      </c>
    </row>
    <row r="115">
      <c r="A115" s="1" t="s">
        <v>256</v>
      </c>
      <c r="B115" s="1" t="s">
        <v>257</v>
      </c>
      <c r="C115" s="3">
        <v>45883.0</v>
      </c>
      <c r="D115" s="1" t="s">
        <v>24</v>
      </c>
      <c r="E115" s="1" t="s">
        <v>140</v>
      </c>
      <c r="F115" s="1" t="s">
        <v>37</v>
      </c>
      <c r="G115" s="1">
        <v>6.0</v>
      </c>
      <c r="H115" s="1">
        <v>499.0</v>
      </c>
      <c r="I115" s="1">
        <v>0.11</v>
      </c>
      <c r="J115" s="1">
        <v>2664.66</v>
      </c>
      <c r="K115" s="1" t="s">
        <v>20</v>
      </c>
      <c r="L115" s="1">
        <v>5.0</v>
      </c>
      <c r="M115" s="1">
        <v>34.0</v>
      </c>
      <c r="N115" s="1" t="s">
        <v>21</v>
      </c>
    </row>
    <row r="116">
      <c r="A116" s="1" t="s">
        <v>258</v>
      </c>
      <c r="B116" s="1" t="s">
        <v>259</v>
      </c>
      <c r="C116" s="3">
        <v>46010.0</v>
      </c>
      <c r="D116" s="1" t="s">
        <v>30</v>
      </c>
      <c r="E116" s="1" t="s">
        <v>31</v>
      </c>
      <c r="F116" s="1" t="s">
        <v>19</v>
      </c>
      <c r="G116" s="1">
        <v>1.0</v>
      </c>
      <c r="H116" s="1">
        <v>699.0</v>
      </c>
      <c r="I116" s="1">
        <v>0.16</v>
      </c>
      <c r="J116" s="1">
        <v>587.16</v>
      </c>
      <c r="K116" s="1" t="s">
        <v>27</v>
      </c>
      <c r="L116" s="1">
        <v>4.9</v>
      </c>
      <c r="M116" s="1">
        <v>45.0</v>
      </c>
      <c r="N116" s="1" t="s">
        <v>21</v>
      </c>
    </row>
    <row r="117">
      <c r="A117" s="1" t="s">
        <v>260</v>
      </c>
      <c r="B117" s="1" t="s">
        <v>261</v>
      </c>
      <c r="C117" s="3">
        <v>45843.0</v>
      </c>
      <c r="D117" s="1" t="s">
        <v>24</v>
      </c>
      <c r="E117" s="1" t="s">
        <v>48</v>
      </c>
      <c r="F117" s="1" t="s">
        <v>57</v>
      </c>
      <c r="G117" s="1">
        <v>3.0</v>
      </c>
      <c r="H117" s="1">
        <v>149.0</v>
      </c>
      <c r="I117" s="1">
        <v>0.15</v>
      </c>
      <c r="J117" s="1">
        <v>379.95</v>
      </c>
      <c r="K117" s="1" t="s">
        <v>51</v>
      </c>
      <c r="L117" s="1">
        <v>3.6</v>
      </c>
      <c r="M117" s="1">
        <v>44.0</v>
      </c>
      <c r="N117" s="1" t="s">
        <v>21</v>
      </c>
    </row>
    <row r="118">
      <c r="A118" s="1" t="s">
        <v>262</v>
      </c>
      <c r="B118" s="1" t="s">
        <v>263</v>
      </c>
      <c r="C118" s="3">
        <v>45942.0</v>
      </c>
      <c r="D118" s="1" t="s">
        <v>24</v>
      </c>
      <c r="E118" s="1" t="s">
        <v>48</v>
      </c>
      <c r="F118" s="1" t="s">
        <v>26</v>
      </c>
      <c r="G118" s="1">
        <v>1.0</v>
      </c>
      <c r="H118" s="1">
        <v>499.0</v>
      </c>
      <c r="I118" s="1">
        <v>0.05</v>
      </c>
      <c r="J118" s="1">
        <v>474.05</v>
      </c>
      <c r="K118" s="1" t="s">
        <v>20</v>
      </c>
      <c r="L118" s="1">
        <v>4.3</v>
      </c>
      <c r="M118" s="1">
        <v>36.0</v>
      </c>
      <c r="N118" s="1" t="s">
        <v>21</v>
      </c>
    </row>
    <row r="119">
      <c r="A119" s="1" t="s">
        <v>264</v>
      </c>
      <c r="B119" s="1" t="s">
        <v>265</v>
      </c>
      <c r="C119" s="3">
        <v>45895.0</v>
      </c>
      <c r="D119" s="1" t="s">
        <v>17</v>
      </c>
      <c r="E119" s="1" t="s">
        <v>75</v>
      </c>
      <c r="F119" s="1" t="s">
        <v>32</v>
      </c>
      <c r="G119" s="1">
        <v>1.0</v>
      </c>
      <c r="H119" s="1">
        <v>299.0</v>
      </c>
      <c r="I119" s="1">
        <v>0.23</v>
      </c>
      <c r="J119" s="1">
        <v>230.23</v>
      </c>
      <c r="K119" s="1" t="s">
        <v>27</v>
      </c>
      <c r="L119" s="1">
        <v>3.2</v>
      </c>
      <c r="M119" s="1">
        <v>46.0</v>
      </c>
      <c r="N119" s="1" t="s">
        <v>21</v>
      </c>
    </row>
    <row r="120">
      <c r="A120" s="1" t="s">
        <v>266</v>
      </c>
      <c r="B120" s="1" t="s">
        <v>267</v>
      </c>
      <c r="C120" s="3">
        <v>45883.0</v>
      </c>
      <c r="D120" s="1" t="s">
        <v>41</v>
      </c>
      <c r="E120" s="1" t="s">
        <v>42</v>
      </c>
      <c r="F120" s="1" t="s">
        <v>57</v>
      </c>
      <c r="G120" s="1">
        <v>3.0</v>
      </c>
      <c r="H120" s="1">
        <v>249.0</v>
      </c>
      <c r="I120" s="1">
        <v>0.09</v>
      </c>
      <c r="J120" s="1">
        <v>679.77</v>
      </c>
      <c r="K120" s="1" t="s">
        <v>27</v>
      </c>
      <c r="L120" s="1">
        <v>4.1</v>
      </c>
      <c r="M120" s="1">
        <v>33.0</v>
      </c>
      <c r="N120" s="1" t="s">
        <v>21</v>
      </c>
    </row>
    <row r="121">
      <c r="A121" s="1" t="s">
        <v>268</v>
      </c>
      <c r="B121" s="1" t="s">
        <v>269</v>
      </c>
      <c r="C121" s="3">
        <v>45922.0</v>
      </c>
      <c r="D121" s="1" t="s">
        <v>17</v>
      </c>
      <c r="E121" s="1" t="s">
        <v>64</v>
      </c>
      <c r="F121" s="1" t="s">
        <v>19</v>
      </c>
      <c r="G121" s="1">
        <v>5.0</v>
      </c>
      <c r="H121" s="1">
        <v>149.0</v>
      </c>
      <c r="I121" s="1">
        <v>0.15</v>
      </c>
      <c r="J121" s="1">
        <v>633.25</v>
      </c>
      <c r="K121" s="1" t="s">
        <v>33</v>
      </c>
      <c r="L121" s="1">
        <v>4.1</v>
      </c>
      <c r="M121" s="1">
        <v>43.0</v>
      </c>
      <c r="N121" s="1" t="s">
        <v>21</v>
      </c>
    </row>
    <row r="122">
      <c r="A122" s="1" t="s">
        <v>270</v>
      </c>
      <c r="B122" s="1" t="s">
        <v>271</v>
      </c>
      <c r="C122" s="3">
        <v>45887.0</v>
      </c>
      <c r="D122" s="1" t="s">
        <v>41</v>
      </c>
      <c r="E122" s="1" t="s">
        <v>42</v>
      </c>
      <c r="F122" s="1" t="s">
        <v>19</v>
      </c>
      <c r="G122" s="1">
        <v>4.0</v>
      </c>
      <c r="H122" s="1">
        <v>499.0</v>
      </c>
      <c r="I122" s="1">
        <v>0.08</v>
      </c>
      <c r="J122" s="1">
        <v>1836.32</v>
      </c>
      <c r="K122" s="1" t="s">
        <v>33</v>
      </c>
      <c r="L122" s="1">
        <v>3.6</v>
      </c>
      <c r="M122" s="1">
        <v>36.0</v>
      </c>
      <c r="N122" s="1" t="s">
        <v>21</v>
      </c>
    </row>
    <row r="123">
      <c r="A123" s="1" t="s">
        <v>272</v>
      </c>
      <c r="B123" s="1" t="s">
        <v>273</v>
      </c>
      <c r="C123" s="3">
        <v>45983.0</v>
      </c>
      <c r="D123" s="1" t="s">
        <v>30</v>
      </c>
      <c r="E123" s="1" t="s">
        <v>36</v>
      </c>
      <c r="F123" s="1" t="s">
        <v>57</v>
      </c>
      <c r="G123" s="1">
        <v>1.0</v>
      </c>
      <c r="H123" s="1">
        <v>699.0</v>
      </c>
      <c r="I123" s="1">
        <v>0.04</v>
      </c>
      <c r="J123" s="1">
        <v>671.04</v>
      </c>
      <c r="K123" s="1" t="s">
        <v>27</v>
      </c>
      <c r="L123" s="1">
        <v>4.6</v>
      </c>
      <c r="M123" s="1">
        <v>31.0</v>
      </c>
      <c r="N123" s="1" t="s">
        <v>21</v>
      </c>
    </row>
    <row r="124">
      <c r="A124" s="1" t="s">
        <v>274</v>
      </c>
      <c r="B124" s="1" t="s">
        <v>241</v>
      </c>
      <c r="C124" s="3">
        <v>45908.0</v>
      </c>
      <c r="D124" s="1" t="s">
        <v>24</v>
      </c>
      <c r="E124" s="1" t="s">
        <v>25</v>
      </c>
      <c r="F124" s="1" t="s">
        <v>19</v>
      </c>
      <c r="G124" s="1">
        <v>3.0</v>
      </c>
      <c r="H124" s="1">
        <v>499.0</v>
      </c>
      <c r="I124" s="1">
        <v>0.07</v>
      </c>
      <c r="J124" s="1">
        <v>1392.21</v>
      </c>
      <c r="K124" s="1" t="s">
        <v>33</v>
      </c>
      <c r="L124" s="1">
        <v>4.0</v>
      </c>
      <c r="M124" s="1">
        <v>42.0</v>
      </c>
      <c r="N124" s="1" t="s">
        <v>21</v>
      </c>
    </row>
    <row r="125">
      <c r="A125" s="1" t="s">
        <v>275</v>
      </c>
      <c r="B125" s="1" t="s">
        <v>276</v>
      </c>
      <c r="C125" s="3">
        <v>45926.0</v>
      </c>
      <c r="D125" s="1" t="s">
        <v>24</v>
      </c>
      <c r="E125" s="1" t="s">
        <v>25</v>
      </c>
      <c r="F125" s="1" t="s">
        <v>19</v>
      </c>
      <c r="G125" s="1">
        <v>1.0</v>
      </c>
      <c r="H125" s="1">
        <v>299.0</v>
      </c>
      <c r="I125" s="1">
        <v>0.0</v>
      </c>
      <c r="J125" s="1">
        <v>299.0</v>
      </c>
      <c r="K125" s="1" t="s">
        <v>27</v>
      </c>
      <c r="L125" s="1">
        <v>4.1</v>
      </c>
      <c r="M125" s="1">
        <v>53.0</v>
      </c>
      <c r="N125" s="1" t="s">
        <v>21</v>
      </c>
    </row>
    <row r="126">
      <c r="A126" s="1" t="s">
        <v>277</v>
      </c>
      <c r="B126" s="1" t="s">
        <v>278</v>
      </c>
      <c r="C126" s="3">
        <v>45932.0</v>
      </c>
      <c r="D126" s="1" t="s">
        <v>41</v>
      </c>
      <c r="E126" s="1" t="s">
        <v>45</v>
      </c>
      <c r="F126" s="1" t="s">
        <v>32</v>
      </c>
      <c r="G126" s="1">
        <v>1.0</v>
      </c>
      <c r="H126" s="1">
        <v>1999.0</v>
      </c>
      <c r="I126" s="1">
        <v>0.1</v>
      </c>
      <c r="J126" s="1">
        <v>1799.1</v>
      </c>
      <c r="K126" s="1" t="s">
        <v>20</v>
      </c>
      <c r="L126" s="1">
        <v>4.2</v>
      </c>
      <c r="M126" s="1">
        <v>18.0</v>
      </c>
      <c r="N126" s="1" t="s">
        <v>21</v>
      </c>
    </row>
    <row r="127">
      <c r="A127" s="1" t="s">
        <v>279</v>
      </c>
      <c r="B127" s="1" t="s">
        <v>280</v>
      </c>
      <c r="C127" s="3">
        <v>45848.0</v>
      </c>
      <c r="D127" s="1" t="s">
        <v>41</v>
      </c>
      <c r="E127" s="1" t="s">
        <v>54</v>
      </c>
      <c r="F127" s="1" t="s">
        <v>57</v>
      </c>
      <c r="G127" s="1">
        <v>2.0</v>
      </c>
      <c r="H127" s="1">
        <v>299.0</v>
      </c>
      <c r="I127" s="1">
        <v>0.09</v>
      </c>
      <c r="J127" s="1">
        <v>544.18</v>
      </c>
      <c r="K127" s="1" t="s">
        <v>33</v>
      </c>
      <c r="L127" s="1">
        <v>3.1</v>
      </c>
      <c r="M127" s="1">
        <v>24.0</v>
      </c>
      <c r="N127" s="1" t="s">
        <v>21</v>
      </c>
    </row>
    <row r="128">
      <c r="A128" s="1" t="s">
        <v>281</v>
      </c>
      <c r="B128" s="1" t="s">
        <v>282</v>
      </c>
      <c r="C128" s="3">
        <v>45907.0</v>
      </c>
      <c r="D128" s="1" t="s">
        <v>24</v>
      </c>
      <c r="E128" s="1" t="s">
        <v>25</v>
      </c>
      <c r="F128" s="1" t="s">
        <v>19</v>
      </c>
      <c r="G128" s="1">
        <v>4.0</v>
      </c>
      <c r="H128" s="1">
        <v>299.0</v>
      </c>
      <c r="I128" s="1">
        <v>0.18</v>
      </c>
      <c r="J128" s="1">
        <v>980.72</v>
      </c>
      <c r="K128" s="1" t="s">
        <v>51</v>
      </c>
      <c r="L128" s="1">
        <v>4.6</v>
      </c>
      <c r="M128" s="1">
        <v>36.0</v>
      </c>
      <c r="N128" s="1" t="s">
        <v>38</v>
      </c>
    </row>
    <row r="129">
      <c r="A129" s="1" t="s">
        <v>283</v>
      </c>
      <c r="B129" s="1" t="s">
        <v>284</v>
      </c>
      <c r="C129" s="3">
        <v>45944.0</v>
      </c>
      <c r="D129" s="1" t="s">
        <v>41</v>
      </c>
      <c r="E129" s="1" t="s">
        <v>94</v>
      </c>
      <c r="F129" s="1" t="s">
        <v>65</v>
      </c>
      <c r="G129" s="1">
        <v>7.0</v>
      </c>
      <c r="H129" s="1">
        <v>199.0</v>
      </c>
      <c r="I129" s="1">
        <v>0.17</v>
      </c>
      <c r="J129" s="1">
        <v>1156.19</v>
      </c>
      <c r="K129" s="1" t="s">
        <v>33</v>
      </c>
      <c r="L129" s="1">
        <v>3.9</v>
      </c>
      <c r="M129" s="1">
        <v>44.0</v>
      </c>
      <c r="N129" s="1" t="s">
        <v>21</v>
      </c>
    </row>
    <row r="130">
      <c r="A130" s="1" t="s">
        <v>285</v>
      </c>
      <c r="B130" s="1" t="s">
        <v>286</v>
      </c>
      <c r="C130" s="3">
        <v>45983.0</v>
      </c>
      <c r="D130" s="1" t="s">
        <v>17</v>
      </c>
      <c r="E130" s="1" t="s">
        <v>64</v>
      </c>
      <c r="F130" s="1" t="s">
        <v>37</v>
      </c>
      <c r="G130" s="1">
        <v>1.0</v>
      </c>
      <c r="H130" s="1">
        <v>699.0</v>
      </c>
      <c r="I130" s="1">
        <v>0.11</v>
      </c>
      <c r="J130" s="1">
        <v>622.11</v>
      </c>
      <c r="K130" s="1" t="s">
        <v>33</v>
      </c>
      <c r="L130" s="1">
        <v>4.6</v>
      </c>
      <c r="M130" s="1">
        <v>45.0</v>
      </c>
      <c r="N130" s="1" t="s">
        <v>21</v>
      </c>
    </row>
    <row r="131">
      <c r="A131" s="1" t="s">
        <v>287</v>
      </c>
      <c r="B131" s="1" t="s">
        <v>288</v>
      </c>
      <c r="C131" s="3">
        <v>46022.0</v>
      </c>
      <c r="D131" s="1" t="s">
        <v>17</v>
      </c>
      <c r="E131" s="1" t="s">
        <v>64</v>
      </c>
      <c r="F131" s="1" t="s">
        <v>26</v>
      </c>
      <c r="G131" s="1">
        <v>2.0</v>
      </c>
      <c r="H131" s="1">
        <v>49.0</v>
      </c>
      <c r="I131" s="1">
        <v>0.16</v>
      </c>
      <c r="J131" s="1">
        <v>82.32</v>
      </c>
      <c r="K131" s="1" t="s">
        <v>27</v>
      </c>
      <c r="L131" s="1">
        <v>3.1</v>
      </c>
      <c r="M131" s="1">
        <v>58.0</v>
      </c>
      <c r="N131" s="1" t="s">
        <v>21</v>
      </c>
    </row>
    <row r="132">
      <c r="A132" s="1" t="s">
        <v>289</v>
      </c>
      <c r="B132" s="1" t="s">
        <v>190</v>
      </c>
      <c r="C132" s="3">
        <v>46022.0</v>
      </c>
      <c r="D132" s="1" t="s">
        <v>41</v>
      </c>
      <c r="E132" s="1" t="s">
        <v>94</v>
      </c>
      <c r="F132" s="1" t="s">
        <v>57</v>
      </c>
      <c r="G132" s="1">
        <v>2.0</v>
      </c>
      <c r="H132" s="1">
        <v>99.0</v>
      </c>
      <c r="I132" s="1">
        <v>0.07</v>
      </c>
      <c r="J132" s="1">
        <v>184.14</v>
      </c>
      <c r="K132" s="1" t="s">
        <v>33</v>
      </c>
      <c r="L132" s="1">
        <v>3.0</v>
      </c>
      <c r="M132" s="1">
        <v>45.0</v>
      </c>
      <c r="N132" s="1" t="s">
        <v>21</v>
      </c>
    </row>
    <row r="133">
      <c r="A133" s="1" t="s">
        <v>290</v>
      </c>
      <c r="B133" s="1" t="s">
        <v>291</v>
      </c>
      <c r="C133" s="3">
        <v>45882.0</v>
      </c>
      <c r="D133" s="1" t="s">
        <v>30</v>
      </c>
      <c r="E133" s="1" t="s">
        <v>31</v>
      </c>
      <c r="F133" s="1" t="s">
        <v>19</v>
      </c>
      <c r="G133" s="1">
        <v>1.0</v>
      </c>
      <c r="H133" s="1">
        <v>499.0</v>
      </c>
      <c r="I133" s="1">
        <v>0.29</v>
      </c>
      <c r="J133" s="1">
        <v>354.29</v>
      </c>
      <c r="K133" s="1" t="s">
        <v>33</v>
      </c>
      <c r="L133" s="1">
        <v>4.2</v>
      </c>
      <c r="M133" s="1">
        <v>48.0</v>
      </c>
      <c r="N133" s="1" t="s">
        <v>21</v>
      </c>
    </row>
    <row r="134">
      <c r="A134" s="1" t="s">
        <v>292</v>
      </c>
      <c r="B134" s="1" t="s">
        <v>164</v>
      </c>
      <c r="C134" s="3">
        <v>45965.0</v>
      </c>
      <c r="D134" s="1" t="s">
        <v>17</v>
      </c>
      <c r="E134" s="1" t="s">
        <v>64</v>
      </c>
      <c r="F134" s="1" t="s">
        <v>19</v>
      </c>
      <c r="G134" s="1">
        <v>2.0</v>
      </c>
      <c r="H134" s="1">
        <v>1499.0</v>
      </c>
      <c r="I134" s="1">
        <v>0.14</v>
      </c>
      <c r="J134" s="1">
        <v>2578.28</v>
      </c>
      <c r="K134" s="1" t="s">
        <v>27</v>
      </c>
      <c r="L134" s="1">
        <v>4.8</v>
      </c>
      <c r="M134" s="1">
        <v>43.0</v>
      </c>
      <c r="N134" s="1" t="s">
        <v>21</v>
      </c>
    </row>
    <row r="135">
      <c r="A135" s="1" t="s">
        <v>293</v>
      </c>
      <c r="B135" s="1" t="s">
        <v>77</v>
      </c>
      <c r="C135" s="3">
        <v>45860.0</v>
      </c>
      <c r="D135" s="1" t="s">
        <v>41</v>
      </c>
      <c r="E135" s="1" t="s">
        <v>45</v>
      </c>
      <c r="F135" s="1" t="s">
        <v>32</v>
      </c>
      <c r="G135" s="1">
        <v>3.0</v>
      </c>
      <c r="H135" s="1">
        <v>249.0</v>
      </c>
      <c r="I135" s="1">
        <v>0.08</v>
      </c>
      <c r="J135" s="1">
        <v>687.24</v>
      </c>
      <c r="K135" s="1" t="s">
        <v>20</v>
      </c>
      <c r="L135" s="1">
        <v>5.0</v>
      </c>
      <c r="M135" s="1">
        <v>39.0</v>
      </c>
      <c r="N135" s="1" t="s">
        <v>21</v>
      </c>
    </row>
    <row r="136">
      <c r="A136" s="1" t="s">
        <v>294</v>
      </c>
      <c r="B136" s="1" t="s">
        <v>97</v>
      </c>
      <c r="C136" s="3">
        <v>46017.0</v>
      </c>
      <c r="D136" s="1" t="s">
        <v>24</v>
      </c>
      <c r="E136" s="1" t="s">
        <v>140</v>
      </c>
      <c r="F136" s="1" t="s">
        <v>57</v>
      </c>
      <c r="G136" s="1">
        <v>2.0</v>
      </c>
      <c r="H136" s="1">
        <v>499.0</v>
      </c>
      <c r="I136" s="1">
        <v>0.0</v>
      </c>
      <c r="J136" s="1">
        <v>998.0</v>
      </c>
      <c r="K136" s="1" t="s">
        <v>27</v>
      </c>
      <c r="L136" s="1">
        <v>4.3</v>
      </c>
      <c r="M136" s="1">
        <v>36.0</v>
      </c>
      <c r="N136" s="1" t="s">
        <v>21</v>
      </c>
    </row>
    <row r="137">
      <c r="A137" s="1" t="s">
        <v>295</v>
      </c>
      <c r="B137" s="1" t="s">
        <v>296</v>
      </c>
      <c r="C137" s="3">
        <v>46014.0</v>
      </c>
      <c r="D137" s="1" t="s">
        <v>41</v>
      </c>
      <c r="E137" s="1" t="s">
        <v>45</v>
      </c>
      <c r="F137" s="1" t="s">
        <v>26</v>
      </c>
      <c r="G137" s="1">
        <v>1.0</v>
      </c>
      <c r="H137" s="1">
        <v>1999.0</v>
      </c>
      <c r="I137" s="1">
        <v>0.0</v>
      </c>
      <c r="J137" s="1">
        <v>1999.0</v>
      </c>
      <c r="K137" s="1" t="s">
        <v>27</v>
      </c>
      <c r="L137" s="1">
        <v>4.0</v>
      </c>
      <c r="M137" s="1">
        <v>26.0</v>
      </c>
      <c r="N137" s="1" t="s">
        <v>21</v>
      </c>
    </row>
    <row r="138">
      <c r="A138" s="1" t="s">
        <v>297</v>
      </c>
      <c r="B138" s="1" t="s">
        <v>298</v>
      </c>
      <c r="C138" s="3">
        <v>46011.0</v>
      </c>
      <c r="D138" s="1" t="s">
        <v>17</v>
      </c>
      <c r="E138" s="1" t="s">
        <v>18</v>
      </c>
      <c r="F138" s="1" t="s">
        <v>37</v>
      </c>
      <c r="G138" s="1">
        <v>1.0</v>
      </c>
      <c r="H138" s="1">
        <v>699.0</v>
      </c>
      <c r="I138" s="1">
        <v>0.02</v>
      </c>
      <c r="J138" s="1">
        <v>685.02</v>
      </c>
      <c r="K138" s="1" t="s">
        <v>27</v>
      </c>
      <c r="L138" s="1">
        <v>3.5</v>
      </c>
      <c r="M138" s="1">
        <v>34.0</v>
      </c>
      <c r="N138" s="1" t="s">
        <v>21</v>
      </c>
    </row>
    <row r="139">
      <c r="A139" s="1" t="s">
        <v>299</v>
      </c>
      <c r="B139" s="1" t="s">
        <v>300</v>
      </c>
      <c r="C139" s="3">
        <v>45894.0</v>
      </c>
      <c r="D139" s="1" t="s">
        <v>30</v>
      </c>
      <c r="E139" s="1" t="s">
        <v>31</v>
      </c>
      <c r="F139" s="1" t="s">
        <v>26</v>
      </c>
      <c r="G139" s="1">
        <v>1.0</v>
      </c>
      <c r="H139" s="1">
        <v>299.0</v>
      </c>
      <c r="I139" s="1">
        <v>0.21</v>
      </c>
      <c r="J139" s="1">
        <v>236.21</v>
      </c>
      <c r="K139" s="1" t="s">
        <v>27</v>
      </c>
      <c r="L139" s="1">
        <v>4.2</v>
      </c>
      <c r="M139" s="1">
        <v>27.0</v>
      </c>
      <c r="N139" s="1" t="s">
        <v>21</v>
      </c>
    </row>
    <row r="140">
      <c r="A140" s="1" t="s">
        <v>301</v>
      </c>
      <c r="B140" s="1" t="s">
        <v>138</v>
      </c>
      <c r="C140" s="3">
        <v>46003.0</v>
      </c>
      <c r="D140" s="1" t="s">
        <v>17</v>
      </c>
      <c r="E140" s="1" t="s">
        <v>75</v>
      </c>
      <c r="F140" s="1" t="s">
        <v>37</v>
      </c>
      <c r="G140" s="1">
        <v>2.0</v>
      </c>
      <c r="H140" s="1">
        <v>199.0</v>
      </c>
      <c r="I140" s="1">
        <v>0.01</v>
      </c>
      <c r="J140" s="1">
        <v>394.02</v>
      </c>
      <c r="K140" s="1" t="s">
        <v>27</v>
      </c>
      <c r="L140" s="1">
        <v>3.8</v>
      </c>
      <c r="M140" s="1">
        <v>44.0</v>
      </c>
      <c r="N140" s="1" t="s">
        <v>21</v>
      </c>
    </row>
    <row r="141">
      <c r="A141" s="1" t="s">
        <v>302</v>
      </c>
      <c r="B141" s="1" t="s">
        <v>303</v>
      </c>
      <c r="C141" s="3">
        <v>45972.0</v>
      </c>
      <c r="D141" s="1" t="s">
        <v>24</v>
      </c>
      <c r="E141" s="1" t="s">
        <v>140</v>
      </c>
      <c r="F141" s="1" t="s">
        <v>19</v>
      </c>
      <c r="G141" s="1">
        <v>1.0</v>
      </c>
      <c r="H141" s="1">
        <v>199.0</v>
      </c>
      <c r="I141" s="1">
        <v>0.26</v>
      </c>
      <c r="J141" s="1">
        <v>147.26</v>
      </c>
      <c r="K141" s="1" t="s">
        <v>51</v>
      </c>
      <c r="L141" s="1">
        <v>4.6</v>
      </c>
      <c r="M141" s="1">
        <v>38.0</v>
      </c>
      <c r="N141" s="1" t="s">
        <v>21</v>
      </c>
    </row>
    <row r="142">
      <c r="A142" s="1" t="s">
        <v>304</v>
      </c>
      <c r="B142" s="1" t="s">
        <v>172</v>
      </c>
      <c r="C142" s="3">
        <v>46010.0</v>
      </c>
      <c r="D142" s="1" t="s">
        <v>17</v>
      </c>
      <c r="E142" s="1" t="s">
        <v>75</v>
      </c>
      <c r="F142" s="1" t="s">
        <v>32</v>
      </c>
      <c r="G142" s="1">
        <v>1.0</v>
      </c>
      <c r="H142" s="1">
        <v>99.0</v>
      </c>
      <c r="I142" s="1">
        <v>0.12</v>
      </c>
      <c r="J142" s="1">
        <v>87.12</v>
      </c>
      <c r="K142" s="1" t="s">
        <v>33</v>
      </c>
      <c r="L142" s="1">
        <v>5.0</v>
      </c>
      <c r="M142" s="1">
        <v>27.0</v>
      </c>
      <c r="N142" s="1" t="s">
        <v>21</v>
      </c>
    </row>
    <row r="143">
      <c r="A143" s="1" t="s">
        <v>305</v>
      </c>
      <c r="B143" s="1" t="s">
        <v>306</v>
      </c>
      <c r="C143" s="3">
        <v>45994.0</v>
      </c>
      <c r="D143" s="1" t="s">
        <v>17</v>
      </c>
      <c r="E143" s="1" t="s">
        <v>18</v>
      </c>
      <c r="F143" s="1" t="s">
        <v>57</v>
      </c>
      <c r="G143" s="1">
        <v>1.0</v>
      </c>
      <c r="H143" s="1">
        <v>99.0</v>
      </c>
      <c r="I143" s="1">
        <v>0.1</v>
      </c>
      <c r="J143" s="1">
        <v>89.1</v>
      </c>
      <c r="K143" s="1" t="s">
        <v>51</v>
      </c>
      <c r="L143" s="1">
        <v>4.7</v>
      </c>
      <c r="M143" s="1">
        <v>47.0</v>
      </c>
      <c r="N143" s="1" t="s">
        <v>21</v>
      </c>
    </row>
    <row r="144">
      <c r="A144" s="1" t="s">
        <v>307</v>
      </c>
      <c r="B144" s="1" t="s">
        <v>308</v>
      </c>
      <c r="C144" s="3">
        <v>45921.0</v>
      </c>
      <c r="D144" s="1" t="s">
        <v>41</v>
      </c>
      <c r="E144" s="1" t="s">
        <v>42</v>
      </c>
      <c r="F144" s="1" t="s">
        <v>19</v>
      </c>
      <c r="G144" s="1">
        <v>4.0</v>
      </c>
      <c r="H144" s="1">
        <v>299.0</v>
      </c>
      <c r="I144" s="1">
        <v>0.0</v>
      </c>
      <c r="J144" s="1">
        <v>1196.0</v>
      </c>
      <c r="K144" s="1" t="s">
        <v>27</v>
      </c>
      <c r="L144" s="1">
        <v>5.0</v>
      </c>
      <c r="M144" s="1">
        <v>36.0</v>
      </c>
      <c r="N144" s="1" t="s">
        <v>21</v>
      </c>
    </row>
    <row r="145">
      <c r="A145" s="1" t="s">
        <v>309</v>
      </c>
      <c r="B145" s="1" t="s">
        <v>310</v>
      </c>
      <c r="C145" s="3">
        <v>45926.0</v>
      </c>
      <c r="D145" s="1" t="s">
        <v>30</v>
      </c>
      <c r="E145" s="1" t="s">
        <v>70</v>
      </c>
      <c r="F145" s="1" t="s">
        <v>19</v>
      </c>
      <c r="G145" s="1">
        <v>4.0</v>
      </c>
      <c r="H145" s="1">
        <v>199.0</v>
      </c>
      <c r="I145" s="1">
        <v>0.21</v>
      </c>
      <c r="J145" s="1">
        <v>628.84</v>
      </c>
      <c r="K145" s="1" t="s">
        <v>27</v>
      </c>
      <c r="L145" s="1">
        <v>3.8</v>
      </c>
      <c r="M145" s="1">
        <v>27.0</v>
      </c>
      <c r="N145" s="1" t="s">
        <v>21</v>
      </c>
    </row>
    <row r="146">
      <c r="A146" s="1" t="s">
        <v>311</v>
      </c>
      <c r="B146" s="1" t="s">
        <v>174</v>
      </c>
      <c r="C146" s="3">
        <v>45924.0</v>
      </c>
      <c r="D146" s="1" t="s">
        <v>24</v>
      </c>
      <c r="E146" s="1" t="s">
        <v>25</v>
      </c>
      <c r="F146" s="1" t="s">
        <v>65</v>
      </c>
      <c r="G146" s="1">
        <v>1.0</v>
      </c>
      <c r="H146" s="1">
        <v>99.0</v>
      </c>
      <c r="I146" s="1">
        <v>0.0</v>
      </c>
      <c r="J146" s="1">
        <v>99.0</v>
      </c>
      <c r="K146" s="1" t="s">
        <v>27</v>
      </c>
      <c r="L146" s="1">
        <v>4.0</v>
      </c>
      <c r="M146" s="1">
        <v>34.0</v>
      </c>
      <c r="N146" s="1" t="s">
        <v>21</v>
      </c>
    </row>
    <row r="147">
      <c r="A147" s="1" t="s">
        <v>312</v>
      </c>
      <c r="B147" s="1" t="s">
        <v>313</v>
      </c>
      <c r="C147" s="3">
        <v>45973.0</v>
      </c>
      <c r="D147" s="1" t="s">
        <v>24</v>
      </c>
      <c r="E147" s="1" t="s">
        <v>117</v>
      </c>
      <c r="F147" s="1" t="s">
        <v>57</v>
      </c>
      <c r="G147" s="1">
        <v>3.0</v>
      </c>
      <c r="H147" s="1">
        <v>149.0</v>
      </c>
      <c r="I147" s="1">
        <v>0.07</v>
      </c>
      <c r="J147" s="1">
        <v>415.71</v>
      </c>
      <c r="L147" s="1">
        <v>5.0</v>
      </c>
      <c r="M147" s="1">
        <v>27.0</v>
      </c>
      <c r="N147" s="1" t="s">
        <v>21</v>
      </c>
    </row>
    <row r="148">
      <c r="A148" s="1" t="s">
        <v>314</v>
      </c>
      <c r="B148" s="1" t="s">
        <v>315</v>
      </c>
      <c r="C148" s="3">
        <v>45981.0</v>
      </c>
      <c r="D148" s="1" t="s">
        <v>17</v>
      </c>
      <c r="E148" s="1" t="s">
        <v>111</v>
      </c>
      <c r="F148" s="1" t="s">
        <v>65</v>
      </c>
      <c r="G148" s="1">
        <v>1.0</v>
      </c>
      <c r="H148" s="1">
        <v>249.0</v>
      </c>
      <c r="I148" s="1">
        <v>0.16</v>
      </c>
      <c r="J148" s="1">
        <v>209.16</v>
      </c>
      <c r="K148" s="1" t="s">
        <v>51</v>
      </c>
      <c r="L148" s="1">
        <v>4.8</v>
      </c>
      <c r="M148" s="1">
        <v>42.0</v>
      </c>
      <c r="N148" s="1" t="s">
        <v>21</v>
      </c>
    </row>
    <row r="149">
      <c r="A149" s="1" t="s">
        <v>316</v>
      </c>
      <c r="B149" s="1" t="s">
        <v>317</v>
      </c>
      <c r="C149" s="3">
        <v>45888.0</v>
      </c>
      <c r="D149" s="1" t="s">
        <v>17</v>
      </c>
      <c r="E149" s="1" t="s">
        <v>111</v>
      </c>
      <c r="F149" s="1" t="s">
        <v>57</v>
      </c>
      <c r="G149" s="1">
        <v>3.0</v>
      </c>
      <c r="H149" s="1">
        <v>249.0</v>
      </c>
      <c r="I149" s="1">
        <v>0.19</v>
      </c>
      <c r="J149" s="1">
        <v>605.07</v>
      </c>
      <c r="K149" s="1" t="s">
        <v>51</v>
      </c>
      <c r="L149" s="1">
        <v>4.0</v>
      </c>
      <c r="M149" s="1">
        <v>39.0</v>
      </c>
      <c r="N149" s="1" t="s">
        <v>21</v>
      </c>
    </row>
    <row r="150">
      <c r="A150" s="1" t="s">
        <v>318</v>
      </c>
      <c r="B150" s="1" t="s">
        <v>319</v>
      </c>
      <c r="C150" s="3">
        <v>45911.0</v>
      </c>
      <c r="D150" s="1" t="s">
        <v>41</v>
      </c>
      <c r="E150" s="1" t="s">
        <v>54</v>
      </c>
      <c r="F150" s="1" t="s">
        <v>37</v>
      </c>
      <c r="G150" s="1">
        <v>1.0</v>
      </c>
      <c r="H150" s="1">
        <v>499.0</v>
      </c>
      <c r="I150" s="1">
        <v>0.12</v>
      </c>
      <c r="J150" s="1">
        <v>439.12</v>
      </c>
      <c r="K150" s="1" t="s">
        <v>27</v>
      </c>
      <c r="L150" s="1">
        <v>4.0</v>
      </c>
      <c r="M150" s="1">
        <v>51.0</v>
      </c>
      <c r="N150" s="1" t="s">
        <v>21</v>
      </c>
    </row>
    <row r="151">
      <c r="A151" s="1" t="s">
        <v>320</v>
      </c>
      <c r="B151" s="1" t="s">
        <v>321</v>
      </c>
      <c r="C151" s="3">
        <v>45932.0</v>
      </c>
      <c r="D151" s="1" t="s">
        <v>17</v>
      </c>
      <c r="E151" s="1" t="s">
        <v>111</v>
      </c>
      <c r="F151" s="1" t="s">
        <v>26</v>
      </c>
      <c r="G151" s="1">
        <v>5.0</v>
      </c>
      <c r="H151" s="1">
        <v>99.0</v>
      </c>
      <c r="I151" s="1">
        <v>0.0</v>
      </c>
      <c r="J151" s="1">
        <v>495.0</v>
      </c>
      <c r="K151" s="1" t="s">
        <v>27</v>
      </c>
      <c r="L151" s="1">
        <v>4.1</v>
      </c>
      <c r="M151" s="1">
        <v>19.0</v>
      </c>
      <c r="N151" s="1" t="s">
        <v>21</v>
      </c>
    </row>
    <row r="152">
      <c r="A152" s="1" t="s">
        <v>322</v>
      </c>
      <c r="B152" s="1" t="s">
        <v>323</v>
      </c>
      <c r="C152" s="3">
        <v>46021.0</v>
      </c>
      <c r="D152" s="1" t="s">
        <v>17</v>
      </c>
      <c r="E152" s="1" t="s">
        <v>111</v>
      </c>
      <c r="F152" s="1" t="s">
        <v>37</v>
      </c>
      <c r="G152" s="1">
        <v>1.0</v>
      </c>
      <c r="H152" s="1">
        <v>1999.0</v>
      </c>
      <c r="I152" s="1">
        <v>0.0</v>
      </c>
      <c r="J152" s="1">
        <v>1999.0</v>
      </c>
      <c r="K152" s="1" t="s">
        <v>33</v>
      </c>
      <c r="L152" s="1">
        <v>4.8</v>
      </c>
      <c r="M152" s="1">
        <v>20.0</v>
      </c>
      <c r="N152" s="1" t="s">
        <v>21</v>
      </c>
    </row>
    <row r="153">
      <c r="A153" s="1" t="s">
        <v>324</v>
      </c>
      <c r="B153" s="1" t="s">
        <v>315</v>
      </c>
      <c r="C153" s="3">
        <v>45976.0</v>
      </c>
      <c r="D153" s="1" t="s">
        <v>30</v>
      </c>
      <c r="E153" s="1" t="s">
        <v>70</v>
      </c>
      <c r="F153" s="1" t="s">
        <v>57</v>
      </c>
      <c r="G153" s="1">
        <v>1.0</v>
      </c>
      <c r="H153" s="1">
        <v>49.0</v>
      </c>
      <c r="I153" s="1">
        <v>0.07</v>
      </c>
      <c r="J153" s="1">
        <v>45.57</v>
      </c>
      <c r="K153" s="1" t="s">
        <v>27</v>
      </c>
      <c r="L153" s="1">
        <v>3.2</v>
      </c>
      <c r="M153" s="1">
        <v>43.0</v>
      </c>
      <c r="N153" s="1" t="s">
        <v>21</v>
      </c>
    </row>
    <row r="154">
      <c r="A154" s="1" t="s">
        <v>325</v>
      </c>
      <c r="B154" s="1" t="s">
        <v>326</v>
      </c>
      <c r="C154" s="3">
        <v>45985.0</v>
      </c>
      <c r="D154" s="1" t="s">
        <v>17</v>
      </c>
      <c r="E154" s="1" t="s">
        <v>75</v>
      </c>
      <c r="F154" s="1" t="s">
        <v>19</v>
      </c>
      <c r="G154" s="1">
        <v>1.0</v>
      </c>
      <c r="H154" s="1">
        <v>699.0</v>
      </c>
      <c r="I154" s="1">
        <v>0.18</v>
      </c>
      <c r="J154" s="1">
        <v>573.18</v>
      </c>
      <c r="K154" s="1" t="s">
        <v>20</v>
      </c>
      <c r="L154" s="1">
        <v>3.5</v>
      </c>
      <c r="M154" s="1">
        <v>40.0</v>
      </c>
      <c r="N154" s="1" t="s">
        <v>38</v>
      </c>
    </row>
    <row r="155">
      <c r="A155" s="1" t="s">
        <v>327</v>
      </c>
      <c r="B155" s="1" t="s">
        <v>328</v>
      </c>
      <c r="C155" s="3">
        <v>45893.0</v>
      </c>
      <c r="D155" s="1" t="s">
        <v>24</v>
      </c>
      <c r="E155" s="1" t="s">
        <v>25</v>
      </c>
      <c r="F155" s="1" t="s">
        <v>32</v>
      </c>
      <c r="G155" s="1">
        <v>3.0</v>
      </c>
      <c r="H155" s="1">
        <v>199.0</v>
      </c>
      <c r="I155" s="1">
        <v>0.2</v>
      </c>
      <c r="J155" s="1">
        <v>477.6</v>
      </c>
      <c r="K155" s="1" t="s">
        <v>20</v>
      </c>
      <c r="L155" s="1">
        <v>4.4</v>
      </c>
      <c r="M155" s="1">
        <v>56.0</v>
      </c>
      <c r="N155" s="1" t="s">
        <v>21</v>
      </c>
    </row>
    <row r="156">
      <c r="A156" s="1" t="s">
        <v>329</v>
      </c>
      <c r="B156" s="1" t="s">
        <v>239</v>
      </c>
      <c r="C156" s="3">
        <v>45982.0</v>
      </c>
      <c r="D156" s="1" t="s">
        <v>30</v>
      </c>
      <c r="E156" s="1" t="s">
        <v>70</v>
      </c>
      <c r="F156" s="1" t="s">
        <v>57</v>
      </c>
      <c r="G156" s="1">
        <v>3.0</v>
      </c>
      <c r="H156" s="1">
        <v>249.0</v>
      </c>
      <c r="I156" s="1">
        <v>0.02</v>
      </c>
      <c r="J156" s="1">
        <v>732.06</v>
      </c>
      <c r="K156" s="1" t="s">
        <v>27</v>
      </c>
      <c r="L156" s="1">
        <v>3.9</v>
      </c>
      <c r="M156" s="1">
        <v>52.0</v>
      </c>
      <c r="N156" s="1" t="s">
        <v>21</v>
      </c>
    </row>
    <row r="157">
      <c r="A157" s="1" t="s">
        <v>330</v>
      </c>
      <c r="B157" s="1" t="s">
        <v>331</v>
      </c>
      <c r="C157" s="3">
        <v>45974.0</v>
      </c>
      <c r="D157" s="1" t="s">
        <v>30</v>
      </c>
      <c r="E157" s="1" t="s">
        <v>86</v>
      </c>
      <c r="F157" s="1" t="s">
        <v>65</v>
      </c>
      <c r="G157" s="1">
        <v>1.0</v>
      </c>
      <c r="H157" s="1">
        <v>99.0</v>
      </c>
      <c r="I157" s="1">
        <v>0.13</v>
      </c>
      <c r="J157" s="1">
        <v>86.13</v>
      </c>
      <c r="K157" s="1" t="s">
        <v>27</v>
      </c>
      <c r="L157" s="1">
        <v>3.8</v>
      </c>
      <c r="M157" s="1">
        <v>36.0</v>
      </c>
      <c r="N157" s="1" t="s">
        <v>21</v>
      </c>
    </row>
    <row r="158">
      <c r="A158" s="1" t="s">
        <v>332</v>
      </c>
      <c r="B158" s="1" t="s">
        <v>158</v>
      </c>
      <c r="C158" s="3">
        <v>45869.0</v>
      </c>
      <c r="D158" s="1" t="s">
        <v>41</v>
      </c>
      <c r="E158" s="1" t="s">
        <v>45</v>
      </c>
      <c r="F158" s="1" t="s">
        <v>32</v>
      </c>
      <c r="G158" s="1">
        <v>3.0</v>
      </c>
      <c r="H158" s="1">
        <v>249.0</v>
      </c>
      <c r="I158" s="1">
        <v>0.09</v>
      </c>
      <c r="J158" s="1">
        <v>679.77</v>
      </c>
      <c r="K158" s="1" t="s">
        <v>27</v>
      </c>
      <c r="L158" s="1">
        <v>4.3</v>
      </c>
      <c r="M158" s="1">
        <v>39.0</v>
      </c>
      <c r="N158" s="1" t="s">
        <v>21</v>
      </c>
    </row>
    <row r="159">
      <c r="A159" s="1" t="s">
        <v>333</v>
      </c>
      <c r="B159" s="1" t="s">
        <v>334</v>
      </c>
      <c r="C159" s="3">
        <v>46021.0</v>
      </c>
      <c r="D159" s="1" t="s">
        <v>24</v>
      </c>
      <c r="E159" s="1" t="s">
        <v>25</v>
      </c>
      <c r="F159" s="1" t="s">
        <v>26</v>
      </c>
      <c r="G159" s="1">
        <v>4.0</v>
      </c>
      <c r="H159" s="1">
        <v>699.0</v>
      </c>
      <c r="I159" s="1">
        <v>0.1</v>
      </c>
      <c r="J159" s="1">
        <v>2516.4</v>
      </c>
      <c r="K159" s="1" t="s">
        <v>33</v>
      </c>
      <c r="L159" s="1">
        <v>3.1</v>
      </c>
      <c r="M159" s="1">
        <v>26.0</v>
      </c>
      <c r="N159" s="1" t="s">
        <v>21</v>
      </c>
    </row>
    <row r="160">
      <c r="A160" s="1" t="s">
        <v>335</v>
      </c>
      <c r="B160" s="1" t="s">
        <v>336</v>
      </c>
      <c r="C160" s="3">
        <v>46015.0</v>
      </c>
      <c r="D160" s="1" t="s">
        <v>17</v>
      </c>
      <c r="E160" s="1" t="s">
        <v>18</v>
      </c>
      <c r="F160" s="1" t="s">
        <v>19</v>
      </c>
      <c r="G160" s="1">
        <v>5.0</v>
      </c>
      <c r="H160" s="1">
        <v>699.0</v>
      </c>
      <c r="I160" s="1">
        <v>0.16</v>
      </c>
      <c r="J160" s="1">
        <v>2935.8</v>
      </c>
      <c r="K160" s="1" t="s">
        <v>51</v>
      </c>
      <c r="L160" s="1">
        <v>4.7</v>
      </c>
      <c r="M160" s="1">
        <v>35.0</v>
      </c>
      <c r="N160" s="1" t="s">
        <v>21</v>
      </c>
    </row>
    <row r="161">
      <c r="A161" s="1" t="s">
        <v>337</v>
      </c>
      <c r="B161" s="1" t="s">
        <v>338</v>
      </c>
      <c r="C161" s="3">
        <v>45928.0</v>
      </c>
      <c r="D161" s="1" t="s">
        <v>17</v>
      </c>
      <c r="E161" s="1" t="s">
        <v>64</v>
      </c>
      <c r="F161" s="1" t="s">
        <v>19</v>
      </c>
      <c r="G161" s="1">
        <v>1.0</v>
      </c>
      <c r="H161" s="1">
        <v>199.0</v>
      </c>
      <c r="I161" s="1">
        <v>0.12</v>
      </c>
      <c r="J161" s="1">
        <v>175.12</v>
      </c>
      <c r="K161" s="1" t="s">
        <v>51</v>
      </c>
      <c r="L161" s="1">
        <v>4.8</v>
      </c>
      <c r="M161" s="1">
        <v>41.0</v>
      </c>
      <c r="N161" s="1" t="s">
        <v>21</v>
      </c>
    </row>
    <row r="162">
      <c r="A162" s="1" t="s">
        <v>339</v>
      </c>
      <c r="B162" s="1" t="s">
        <v>105</v>
      </c>
      <c r="C162" s="3">
        <v>45907.0</v>
      </c>
      <c r="D162" s="1" t="s">
        <v>24</v>
      </c>
      <c r="E162" s="1" t="s">
        <v>48</v>
      </c>
      <c r="F162" s="1" t="s">
        <v>37</v>
      </c>
      <c r="G162" s="1">
        <v>2.0</v>
      </c>
      <c r="H162" s="1">
        <v>49.0</v>
      </c>
      <c r="I162" s="1">
        <v>0.23</v>
      </c>
      <c r="J162" s="1">
        <v>75.46</v>
      </c>
      <c r="K162" s="1" t="s">
        <v>27</v>
      </c>
      <c r="L162" s="1">
        <v>4.0</v>
      </c>
      <c r="M162" s="1">
        <v>36.0</v>
      </c>
      <c r="N162" s="1" t="s">
        <v>21</v>
      </c>
    </row>
    <row r="163">
      <c r="A163" s="1" t="s">
        <v>340</v>
      </c>
      <c r="B163" s="1" t="s">
        <v>323</v>
      </c>
      <c r="C163" s="3">
        <v>45883.0</v>
      </c>
      <c r="D163" s="1" t="s">
        <v>30</v>
      </c>
      <c r="E163" s="1" t="s">
        <v>36</v>
      </c>
      <c r="F163" s="1" t="s">
        <v>19</v>
      </c>
      <c r="G163" s="1">
        <v>1.0</v>
      </c>
      <c r="H163" s="1">
        <v>999.0</v>
      </c>
      <c r="I163" s="1">
        <v>0.09</v>
      </c>
      <c r="J163" s="1">
        <v>909.09</v>
      </c>
      <c r="K163" s="1" t="s">
        <v>33</v>
      </c>
      <c r="L163" s="1">
        <v>5.0</v>
      </c>
      <c r="M163" s="1">
        <v>37.0</v>
      </c>
      <c r="N163" s="1" t="s">
        <v>21</v>
      </c>
    </row>
    <row r="164">
      <c r="A164" s="1" t="s">
        <v>341</v>
      </c>
      <c r="B164" s="1" t="s">
        <v>125</v>
      </c>
      <c r="C164" s="3">
        <v>45882.0</v>
      </c>
      <c r="D164" s="1" t="s">
        <v>30</v>
      </c>
      <c r="E164" s="1" t="s">
        <v>86</v>
      </c>
      <c r="F164" s="1" t="s">
        <v>32</v>
      </c>
      <c r="G164" s="1">
        <v>1.0</v>
      </c>
      <c r="H164" s="1">
        <v>149.0</v>
      </c>
      <c r="I164" s="1">
        <v>0.11</v>
      </c>
      <c r="J164" s="1">
        <v>132.61</v>
      </c>
      <c r="K164" s="1" t="s">
        <v>33</v>
      </c>
      <c r="L164" s="1">
        <v>2.9</v>
      </c>
      <c r="M164" s="1">
        <v>43.0</v>
      </c>
      <c r="N164" s="1" t="s">
        <v>21</v>
      </c>
    </row>
    <row r="165">
      <c r="A165" s="1" t="s">
        <v>342</v>
      </c>
      <c r="B165" s="1" t="s">
        <v>59</v>
      </c>
      <c r="C165" s="3">
        <v>45930.0</v>
      </c>
      <c r="D165" s="1" t="s">
        <v>17</v>
      </c>
      <c r="E165" s="1" t="s">
        <v>111</v>
      </c>
      <c r="F165" s="1" t="s">
        <v>65</v>
      </c>
      <c r="G165" s="1">
        <v>2.0</v>
      </c>
      <c r="H165" s="1">
        <v>149.0</v>
      </c>
      <c r="I165" s="1">
        <v>0.09</v>
      </c>
      <c r="J165" s="1">
        <v>271.18</v>
      </c>
      <c r="K165" s="1" t="s">
        <v>33</v>
      </c>
      <c r="L165" s="1">
        <v>4.1</v>
      </c>
      <c r="M165" s="1">
        <v>42.0</v>
      </c>
      <c r="N165" s="1" t="s">
        <v>21</v>
      </c>
    </row>
    <row r="166">
      <c r="A166" s="1" t="s">
        <v>343</v>
      </c>
      <c r="B166" s="1" t="s">
        <v>344</v>
      </c>
      <c r="C166" s="3">
        <v>45890.0</v>
      </c>
      <c r="D166" s="1" t="s">
        <v>30</v>
      </c>
      <c r="E166" s="1" t="s">
        <v>31</v>
      </c>
      <c r="F166" s="1" t="s">
        <v>57</v>
      </c>
      <c r="G166" s="1">
        <v>4.0</v>
      </c>
      <c r="H166" s="1">
        <v>99.0</v>
      </c>
      <c r="I166" s="1">
        <v>0.24</v>
      </c>
      <c r="J166" s="1">
        <v>300.96</v>
      </c>
      <c r="K166" s="1" t="s">
        <v>33</v>
      </c>
      <c r="L166" s="1">
        <v>5.0</v>
      </c>
      <c r="M166" s="1">
        <v>53.0</v>
      </c>
      <c r="N166" s="1" t="s">
        <v>21</v>
      </c>
    </row>
    <row r="167">
      <c r="A167" s="1" t="s">
        <v>345</v>
      </c>
      <c r="B167" s="1" t="s">
        <v>74</v>
      </c>
      <c r="C167" s="3">
        <v>45884.0</v>
      </c>
      <c r="D167" s="1" t="s">
        <v>24</v>
      </c>
      <c r="E167" s="1" t="s">
        <v>25</v>
      </c>
      <c r="F167" s="1" t="s">
        <v>37</v>
      </c>
      <c r="G167" s="1">
        <v>3.0</v>
      </c>
      <c r="H167" s="1">
        <v>99.0</v>
      </c>
      <c r="I167" s="1">
        <v>0.14</v>
      </c>
      <c r="J167" s="1">
        <v>255.42</v>
      </c>
      <c r="K167" s="1" t="s">
        <v>51</v>
      </c>
      <c r="L167" s="1">
        <v>3.0</v>
      </c>
      <c r="M167" s="1">
        <v>35.0</v>
      </c>
      <c r="N167" s="1" t="s">
        <v>21</v>
      </c>
    </row>
    <row r="168">
      <c r="A168" s="1" t="s">
        <v>346</v>
      </c>
      <c r="B168" s="1" t="s">
        <v>347</v>
      </c>
      <c r="C168" s="3">
        <v>45996.0</v>
      </c>
      <c r="D168" s="1" t="s">
        <v>17</v>
      </c>
      <c r="E168" s="1" t="s">
        <v>75</v>
      </c>
      <c r="F168" s="1" t="s">
        <v>65</v>
      </c>
      <c r="G168" s="1">
        <v>2.0</v>
      </c>
      <c r="H168" s="1">
        <v>99.0</v>
      </c>
      <c r="I168" s="1">
        <v>0.21</v>
      </c>
      <c r="J168" s="1">
        <v>156.42</v>
      </c>
      <c r="K168" s="1" t="s">
        <v>33</v>
      </c>
      <c r="L168" s="1">
        <v>3.9</v>
      </c>
      <c r="M168" s="1">
        <v>25.0</v>
      </c>
      <c r="N168" s="1" t="s">
        <v>21</v>
      </c>
    </row>
    <row r="169">
      <c r="A169" s="1" t="s">
        <v>348</v>
      </c>
      <c r="B169" s="1" t="s">
        <v>349</v>
      </c>
      <c r="C169" s="3">
        <v>45962.0</v>
      </c>
      <c r="D169" s="1" t="s">
        <v>41</v>
      </c>
      <c r="E169" s="1" t="s">
        <v>45</v>
      </c>
      <c r="F169" s="1" t="s">
        <v>26</v>
      </c>
      <c r="G169" s="1">
        <v>1.0</v>
      </c>
      <c r="H169" s="1">
        <v>1999.0</v>
      </c>
      <c r="I169" s="1">
        <v>0.07</v>
      </c>
      <c r="J169" s="1">
        <v>1859.07</v>
      </c>
      <c r="K169" s="1" t="s">
        <v>51</v>
      </c>
      <c r="M169" s="1">
        <v>41.0</v>
      </c>
      <c r="N169" s="1" t="s">
        <v>21</v>
      </c>
    </row>
    <row r="170">
      <c r="A170" s="1" t="s">
        <v>350</v>
      </c>
      <c r="B170" s="1" t="s">
        <v>351</v>
      </c>
      <c r="C170" s="3">
        <v>45988.0</v>
      </c>
      <c r="D170" s="1" t="s">
        <v>17</v>
      </c>
      <c r="E170" s="1" t="s">
        <v>64</v>
      </c>
      <c r="F170" s="1" t="s">
        <v>26</v>
      </c>
      <c r="G170" s="1">
        <v>2.0</v>
      </c>
      <c r="H170" s="1">
        <v>499.0</v>
      </c>
      <c r="I170" s="1">
        <v>0.04</v>
      </c>
      <c r="J170" s="1">
        <v>958.08</v>
      </c>
      <c r="K170" s="1" t="s">
        <v>27</v>
      </c>
      <c r="L170" s="1">
        <v>4.1</v>
      </c>
      <c r="M170" s="1">
        <v>27.0</v>
      </c>
      <c r="N170" s="1" t="s">
        <v>21</v>
      </c>
    </row>
    <row r="171">
      <c r="A171" s="1" t="s">
        <v>352</v>
      </c>
      <c r="B171" s="1" t="s">
        <v>353</v>
      </c>
      <c r="C171" s="3">
        <v>45961.0</v>
      </c>
      <c r="D171" s="1" t="s">
        <v>17</v>
      </c>
      <c r="E171" s="1" t="s">
        <v>111</v>
      </c>
      <c r="F171" s="1" t="s">
        <v>32</v>
      </c>
      <c r="G171" s="1">
        <v>1.0</v>
      </c>
      <c r="H171" s="1">
        <v>49.0</v>
      </c>
      <c r="I171" s="1">
        <v>0.13</v>
      </c>
      <c r="J171" s="1">
        <v>42.63</v>
      </c>
      <c r="K171" s="1" t="s">
        <v>20</v>
      </c>
      <c r="L171" s="1">
        <v>4.2</v>
      </c>
      <c r="M171" s="1">
        <v>38.0</v>
      </c>
      <c r="N171" s="1" t="s">
        <v>21</v>
      </c>
    </row>
    <row r="172">
      <c r="A172" s="1" t="s">
        <v>354</v>
      </c>
      <c r="B172" s="1" t="s">
        <v>355</v>
      </c>
      <c r="C172" s="3">
        <v>45843.0</v>
      </c>
      <c r="D172" s="1" t="s">
        <v>41</v>
      </c>
      <c r="E172" s="1" t="s">
        <v>54</v>
      </c>
      <c r="F172" s="1" t="s">
        <v>19</v>
      </c>
      <c r="G172" s="1">
        <v>2.0</v>
      </c>
      <c r="H172" s="1">
        <v>699.0</v>
      </c>
      <c r="I172" s="1">
        <v>0.0</v>
      </c>
      <c r="J172" s="1">
        <v>1398.0</v>
      </c>
      <c r="K172" s="1" t="s">
        <v>51</v>
      </c>
      <c r="L172" s="1">
        <v>4.0</v>
      </c>
      <c r="M172" s="1">
        <v>50.0</v>
      </c>
      <c r="N172" s="1" t="s">
        <v>21</v>
      </c>
    </row>
    <row r="173">
      <c r="A173" s="1" t="s">
        <v>356</v>
      </c>
      <c r="B173" s="1" t="s">
        <v>308</v>
      </c>
      <c r="C173" s="3">
        <v>46014.0</v>
      </c>
      <c r="D173" s="1" t="s">
        <v>17</v>
      </c>
      <c r="E173" s="1" t="s">
        <v>75</v>
      </c>
      <c r="F173" s="1" t="s">
        <v>57</v>
      </c>
      <c r="G173" s="1">
        <v>1.0</v>
      </c>
      <c r="H173" s="1">
        <v>249.0</v>
      </c>
      <c r="I173" s="1">
        <v>0.08</v>
      </c>
      <c r="J173" s="1">
        <v>229.08</v>
      </c>
      <c r="K173" s="1" t="s">
        <v>51</v>
      </c>
      <c r="L173" s="1">
        <v>3.6</v>
      </c>
      <c r="M173" s="1">
        <v>43.0</v>
      </c>
      <c r="N173" s="1" t="s">
        <v>21</v>
      </c>
    </row>
    <row r="174">
      <c r="A174" s="1" t="s">
        <v>357</v>
      </c>
      <c r="B174" s="1" t="s">
        <v>358</v>
      </c>
      <c r="C174" s="3">
        <v>45963.0</v>
      </c>
      <c r="D174" s="1" t="s">
        <v>24</v>
      </c>
      <c r="E174" s="1" t="s">
        <v>140</v>
      </c>
      <c r="F174" s="1" t="s">
        <v>37</v>
      </c>
      <c r="G174" s="1">
        <v>3.0</v>
      </c>
      <c r="H174" s="1">
        <v>299.0</v>
      </c>
      <c r="I174" s="1">
        <v>0.11</v>
      </c>
      <c r="J174" s="1">
        <v>798.33</v>
      </c>
      <c r="K174" s="1" t="s">
        <v>33</v>
      </c>
      <c r="L174" s="1">
        <v>5.0</v>
      </c>
      <c r="M174" s="1">
        <v>42.0</v>
      </c>
      <c r="N174" s="1" t="s">
        <v>21</v>
      </c>
    </row>
    <row r="175">
      <c r="A175" s="1" t="s">
        <v>359</v>
      </c>
      <c r="B175" s="1" t="s">
        <v>360</v>
      </c>
      <c r="C175" s="3">
        <v>45882.0</v>
      </c>
      <c r="D175" s="1" t="s">
        <v>24</v>
      </c>
      <c r="E175" s="1" t="s">
        <v>117</v>
      </c>
      <c r="F175" s="1" t="s">
        <v>37</v>
      </c>
      <c r="G175" s="1">
        <v>1.0</v>
      </c>
      <c r="H175" s="1">
        <v>299.0</v>
      </c>
      <c r="I175" s="1">
        <v>0.26</v>
      </c>
      <c r="J175" s="1">
        <v>221.26</v>
      </c>
      <c r="K175" s="1" t="s">
        <v>33</v>
      </c>
      <c r="L175" s="1">
        <v>4.1</v>
      </c>
      <c r="M175" s="1">
        <v>38.0</v>
      </c>
      <c r="N175" s="1" t="s">
        <v>21</v>
      </c>
    </row>
    <row r="176">
      <c r="A176" s="1" t="s">
        <v>361</v>
      </c>
      <c r="B176" s="1" t="s">
        <v>344</v>
      </c>
      <c r="C176" s="3">
        <v>45881.0</v>
      </c>
      <c r="D176" s="1" t="s">
        <v>41</v>
      </c>
      <c r="E176" s="1" t="s">
        <v>94</v>
      </c>
      <c r="F176" s="1" t="s">
        <v>26</v>
      </c>
      <c r="G176" s="1">
        <v>2.0</v>
      </c>
      <c r="H176" s="1">
        <v>699.0</v>
      </c>
      <c r="I176" s="1">
        <v>0.16</v>
      </c>
      <c r="J176" s="1">
        <v>1174.32</v>
      </c>
      <c r="K176" s="1" t="s">
        <v>27</v>
      </c>
      <c r="L176" s="1">
        <v>3.8</v>
      </c>
      <c r="M176" s="1">
        <v>22.0</v>
      </c>
      <c r="N176" s="1" t="s">
        <v>21</v>
      </c>
    </row>
    <row r="177">
      <c r="A177" s="1" t="s">
        <v>362</v>
      </c>
      <c r="B177" s="1" t="s">
        <v>93</v>
      </c>
      <c r="C177" s="3">
        <v>46009.0</v>
      </c>
      <c r="D177" s="1" t="s">
        <v>17</v>
      </c>
      <c r="E177" s="1" t="s">
        <v>75</v>
      </c>
      <c r="F177" s="1" t="s">
        <v>32</v>
      </c>
      <c r="G177" s="1">
        <v>1.0</v>
      </c>
      <c r="H177" s="1">
        <v>249.0</v>
      </c>
      <c r="I177" s="1">
        <v>0.26</v>
      </c>
      <c r="J177" s="1">
        <v>184.26</v>
      </c>
      <c r="K177" s="1" t="s">
        <v>33</v>
      </c>
      <c r="L177" s="1">
        <v>3.2</v>
      </c>
      <c r="M177" s="1">
        <v>44.0</v>
      </c>
      <c r="N177" s="1" t="s">
        <v>21</v>
      </c>
    </row>
    <row r="178">
      <c r="A178" s="1" t="s">
        <v>363</v>
      </c>
      <c r="B178" s="1" t="s">
        <v>364</v>
      </c>
      <c r="C178" s="3">
        <v>45878.0</v>
      </c>
      <c r="D178" s="1" t="s">
        <v>17</v>
      </c>
      <c r="E178" s="1" t="s">
        <v>64</v>
      </c>
      <c r="F178" s="1" t="s">
        <v>37</v>
      </c>
      <c r="G178" s="1">
        <v>3.0</v>
      </c>
      <c r="H178" s="1">
        <v>999.0</v>
      </c>
      <c r="I178" s="1">
        <v>0.0</v>
      </c>
      <c r="J178" s="1">
        <v>2997.0</v>
      </c>
      <c r="K178" s="1" t="s">
        <v>20</v>
      </c>
      <c r="L178" s="1">
        <v>4.3</v>
      </c>
      <c r="M178" s="1">
        <v>40.0</v>
      </c>
      <c r="N178" s="1" t="s">
        <v>21</v>
      </c>
    </row>
    <row r="179">
      <c r="A179" s="1" t="s">
        <v>365</v>
      </c>
      <c r="B179" s="1" t="s">
        <v>77</v>
      </c>
      <c r="C179" s="3">
        <v>45998.0</v>
      </c>
      <c r="D179" s="1" t="s">
        <v>30</v>
      </c>
      <c r="E179" s="1" t="s">
        <v>36</v>
      </c>
      <c r="F179" s="1" t="s">
        <v>32</v>
      </c>
      <c r="G179" s="1">
        <v>2.0</v>
      </c>
      <c r="H179" s="1">
        <v>199.0</v>
      </c>
      <c r="I179" s="1">
        <v>0.0</v>
      </c>
      <c r="J179" s="1">
        <v>398.0</v>
      </c>
      <c r="K179" s="1" t="s">
        <v>33</v>
      </c>
      <c r="L179" s="1">
        <v>4.5</v>
      </c>
      <c r="M179" s="1">
        <v>38.0</v>
      </c>
      <c r="N179" s="1" t="s">
        <v>21</v>
      </c>
    </row>
    <row r="180">
      <c r="A180" s="1" t="s">
        <v>366</v>
      </c>
      <c r="B180" s="1" t="s">
        <v>16</v>
      </c>
      <c r="C180" s="3">
        <v>45844.0</v>
      </c>
      <c r="D180" s="1" t="s">
        <v>17</v>
      </c>
      <c r="E180" s="1" t="s">
        <v>18</v>
      </c>
      <c r="F180" s="1" t="s">
        <v>26</v>
      </c>
      <c r="G180" s="1">
        <v>4.0</v>
      </c>
      <c r="H180" s="1">
        <v>499.0</v>
      </c>
      <c r="I180" s="1">
        <v>0.22</v>
      </c>
      <c r="J180" s="1">
        <v>1556.88</v>
      </c>
      <c r="K180" s="1" t="s">
        <v>33</v>
      </c>
      <c r="L180" s="1">
        <v>4.9</v>
      </c>
      <c r="M180" s="1">
        <v>39.0</v>
      </c>
      <c r="N180" s="1" t="s">
        <v>21</v>
      </c>
    </row>
    <row r="181">
      <c r="A181" s="1" t="s">
        <v>367</v>
      </c>
      <c r="B181" s="1" t="s">
        <v>368</v>
      </c>
      <c r="C181" s="3">
        <v>45855.0</v>
      </c>
      <c r="D181" s="1" t="s">
        <v>17</v>
      </c>
      <c r="E181" s="1" t="s">
        <v>111</v>
      </c>
      <c r="F181" s="1" t="s">
        <v>19</v>
      </c>
      <c r="G181" s="1">
        <v>2.0</v>
      </c>
      <c r="H181" s="1">
        <v>299.0</v>
      </c>
      <c r="I181" s="1">
        <v>0.19</v>
      </c>
      <c r="J181" s="1">
        <v>484.38</v>
      </c>
      <c r="K181" s="1" t="s">
        <v>27</v>
      </c>
      <c r="L181" s="1">
        <v>4.5</v>
      </c>
      <c r="M181" s="1">
        <v>42.0</v>
      </c>
      <c r="N181" s="1" t="s">
        <v>21</v>
      </c>
    </row>
    <row r="182">
      <c r="A182" s="1" t="s">
        <v>369</v>
      </c>
      <c r="B182" s="1" t="s">
        <v>370</v>
      </c>
      <c r="C182" s="3">
        <v>45976.0</v>
      </c>
      <c r="D182" s="1" t="s">
        <v>24</v>
      </c>
      <c r="E182" s="1" t="s">
        <v>25</v>
      </c>
      <c r="F182" s="1" t="s">
        <v>37</v>
      </c>
      <c r="G182" s="1">
        <v>2.0</v>
      </c>
      <c r="H182" s="1">
        <v>249.0</v>
      </c>
      <c r="I182" s="1">
        <v>0.01</v>
      </c>
      <c r="J182" s="1">
        <v>493.02</v>
      </c>
      <c r="K182" s="1" t="s">
        <v>33</v>
      </c>
      <c r="L182" s="1">
        <v>3.5</v>
      </c>
      <c r="M182" s="1">
        <v>46.0</v>
      </c>
      <c r="N182" s="1" t="s">
        <v>21</v>
      </c>
    </row>
    <row r="183">
      <c r="A183" s="1" t="s">
        <v>371</v>
      </c>
      <c r="B183" s="1" t="s">
        <v>372</v>
      </c>
      <c r="C183" s="3">
        <v>45967.0</v>
      </c>
      <c r="D183" s="1" t="s">
        <v>24</v>
      </c>
      <c r="E183" s="1" t="s">
        <v>48</v>
      </c>
      <c r="F183" s="1" t="s">
        <v>57</v>
      </c>
      <c r="G183" s="1">
        <v>2.0</v>
      </c>
      <c r="H183" s="1">
        <v>149.0</v>
      </c>
      <c r="I183" s="1">
        <v>0.16</v>
      </c>
      <c r="J183" s="1">
        <v>250.32</v>
      </c>
      <c r="K183" s="1" t="s">
        <v>33</v>
      </c>
      <c r="L183" s="1">
        <v>4.4</v>
      </c>
      <c r="M183" s="1">
        <v>27.0</v>
      </c>
      <c r="N183" s="1" t="s">
        <v>21</v>
      </c>
    </row>
    <row r="184">
      <c r="A184" s="1" t="s">
        <v>373</v>
      </c>
      <c r="B184" s="1" t="s">
        <v>374</v>
      </c>
      <c r="C184" s="3">
        <v>45965.0</v>
      </c>
      <c r="D184" s="1" t="s">
        <v>30</v>
      </c>
      <c r="E184" s="1" t="s">
        <v>31</v>
      </c>
      <c r="F184" s="1" t="s">
        <v>19</v>
      </c>
      <c r="G184" s="1">
        <v>4.0</v>
      </c>
      <c r="H184" s="1">
        <v>499.0</v>
      </c>
      <c r="I184" s="1">
        <v>0.08</v>
      </c>
      <c r="J184" s="1">
        <v>1836.32</v>
      </c>
      <c r="K184" s="1" t="s">
        <v>51</v>
      </c>
      <c r="L184" s="1">
        <v>3.8</v>
      </c>
      <c r="M184" s="1">
        <v>30.0</v>
      </c>
      <c r="N184" s="1" t="s">
        <v>21</v>
      </c>
    </row>
    <row r="185">
      <c r="A185" s="1" t="s">
        <v>375</v>
      </c>
      <c r="B185" s="1" t="s">
        <v>376</v>
      </c>
      <c r="C185" s="3">
        <v>46022.0</v>
      </c>
      <c r="D185" s="1" t="s">
        <v>41</v>
      </c>
      <c r="E185" s="1" t="s">
        <v>54</v>
      </c>
      <c r="F185" s="1" t="s">
        <v>19</v>
      </c>
      <c r="G185" s="1">
        <v>1.0</v>
      </c>
      <c r="H185" s="1">
        <v>49.0</v>
      </c>
      <c r="I185" s="1">
        <v>0.19</v>
      </c>
      <c r="J185" s="1">
        <v>39.69</v>
      </c>
      <c r="K185" s="1" t="s">
        <v>27</v>
      </c>
      <c r="L185" s="1">
        <v>5.0</v>
      </c>
      <c r="M185" s="1">
        <v>44.0</v>
      </c>
      <c r="N185" s="1" t="s">
        <v>21</v>
      </c>
    </row>
    <row r="186">
      <c r="A186" s="1" t="s">
        <v>377</v>
      </c>
      <c r="B186" s="1" t="s">
        <v>378</v>
      </c>
      <c r="C186" s="3">
        <v>45893.0</v>
      </c>
      <c r="D186" s="1" t="s">
        <v>17</v>
      </c>
      <c r="E186" s="1" t="s">
        <v>18</v>
      </c>
      <c r="F186" s="1" t="s">
        <v>65</v>
      </c>
      <c r="G186" s="1">
        <v>1.0</v>
      </c>
      <c r="H186" s="1">
        <v>199.0</v>
      </c>
      <c r="I186" s="1">
        <v>0.17</v>
      </c>
      <c r="J186" s="1">
        <v>165.17</v>
      </c>
      <c r="K186" s="1" t="s">
        <v>51</v>
      </c>
      <c r="L186" s="1">
        <v>4.4</v>
      </c>
      <c r="M186" s="1">
        <v>36.0</v>
      </c>
      <c r="N186" s="1" t="s">
        <v>21</v>
      </c>
    </row>
    <row r="187">
      <c r="A187" s="1" t="s">
        <v>379</v>
      </c>
      <c r="B187" s="1" t="s">
        <v>380</v>
      </c>
      <c r="C187" s="3">
        <v>46022.0</v>
      </c>
      <c r="D187" s="1" t="s">
        <v>30</v>
      </c>
      <c r="E187" s="1" t="s">
        <v>36</v>
      </c>
      <c r="F187" s="1" t="s">
        <v>65</v>
      </c>
      <c r="G187" s="1">
        <v>5.0</v>
      </c>
      <c r="H187" s="1">
        <v>1999.0</v>
      </c>
      <c r="I187" s="1">
        <v>0.2</v>
      </c>
      <c r="J187" s="1">
        <v>7996.0</v>
      </c>
      <c r="K187" s="1" t="s">
        <v>51</v>
      </c>
      <c r="L187" s="1">
        <v>4.3</v>
      </c>
      <c r="M187" s="1">
        <v>49.0</v>
      </c>
      <c r="N187" s="1" t="s">
        <v>21</v>
      </c>
    </row>
    <row r="188">
      <c r="A188" s="1" t="s">
        <v>381</v>
      </c>
      <c r="B188" s="1" t="s">
        <v>382</v>
      </c>
      <c r="C188" s="3">
        <v>45883.0</v>
      </c>
      <c r="D188" s="1" t="s">
        <v>17</v>
      </c>
      <c r="E188" s="1" t="s">
        <v>111</v>
      </c>
      <c r="F188" s="1" t="s">
        <v>19</v>
      </c>
      <c r="G188" s="1">
        <v>4.0</v>
      </c>
      <c r="H188" s="1">
        <v>1999.0</v>
      </c>
      <c r="I188" s="1">
        <v>0.16</v>
      </c>
      <c r="J188" s="1">
        <v>6716.64</v>
      </c>
      <c r="K188" s="1" t="s">
        <v>27</v>
      </c>
      <c r="L188" s="1">
        <v>4.9</v>
      </c>
      <c r="M188" s="1">
        <v>31.0</v>
      </c>
      <c r="N188" s="1" t="s">
        <v>21</v>
      </c>
    </row>
    <row r="189">
      <c r="A189" s="1" t="s">
        <v>383</v>
      </c>
      <c r="B189" s="1" t="s">
        <v>99</v>
      </c>
      <c r="C189" s="3">
        <v>45939.0</v>
      </c>
      <c r="D189" s="1" t="s">
        <v>24</v>
      </c>
      <c r="E189" s="1" t="s">
        <v>140</v>
      </c>
      <c r="F189" s="1" t="s">
        <v>65</v>
      </c>
      <c r="G189" s="1">
        <v>3.0</v>
      </c>
      <c r="H189" s="1">
        <v>999.0</v>
      </c>
      <c r="I189" s="1">
        <v>0.05</v>
      </c>
      <c r="J189" s="1">
        <v>2847.15</v>
      </c>
      <c r="K189" s="1" t="s">
        <v>33</v>
      </c>
      <c r="L189" s="1">
        <v>4.2</v>
      </c>
      <c r="M189" s="1">
        <v>43.0</v>
      </c>
      <c r="N189" s="1" t="s">
        <v>21</v>
      </c>
    </row>
    <row r="190">
      <c r="A190" s="1" t="s">
        <v>384</v>
      </c>
      <c r="B190" s="1" t="s">
        <v>132</v>
      </c>
      <c r="C190" s="3">
        <v>45935.0</v>
      </c>
      <c r="D190" s="1" t="s">
        <v>24</v>
      </c>
      <c r="E190" s="1" t="s">
        <v>48</v>
      </c>
      <c r="F190" s="1" t="s">
        <v>19</v>
      </c>
      <c r="G190" s="1">
        <v>4.0</v>
      </c>
      <c r="H190" s="1">
        <v>499.0</v>
      </c>
      <c r="I190" s="1">
        <v>0.05</v>
      </c>
      <c r="J190" s="1">
        <v>1896.2</v>
      </c>
      <c r="K190" s="1" t="s">
        <v>20</v>
      </c>
      <c r="L190" s="1">
        <v>4.2</v>
      </c>
      <c r="M190" s="1">
        <v>28.0</v>
      </c>
      <c r="N190" s="1" t="s">
        <v>21</v>
      </c>
    </row>
    <row r="191">
      <c r="A191" s="1" t="s">
        <v>385</v>
      </c>
      <c r="B191" s="1" t="s">
        <v>218</v>
      </c>
      <c r="C191" s="3">
        <v>45895.0</v>
      </c>
      <c r="D191" s="1" t="s">
        <v>17</v>
      </c>
      <c r="E191" s="1" t="s">
        <v>75</v>
      </c>
      <c r="F191" s="1" t="s">
        <v>57</v>
      </c>
      <c r="G191" s="1">
        <v>4.0</v>
      </c>
      <c r="H191" s="1">
        <v>999.0</v>
      </c>
      <c r="I191" s="1">
        <v>0.23</v>
      </c>
      <c r="J191" s="1">
        <v>3076.92</v>
      </c>
      <c r="K191" s="1" t="s">
        <v>20</v>
      </c>
      <c r="L191" s="1">
        <v>4.6</v>
      </c>
      <c r="M191" s="1">
        <v>51.0</v>
      </c>
      <c r="N191" s="1" t="s">
        <v>21</v>
      </c>
    </row>
    <row r="192">
      <c r="A192" s="1" t="s">
        <v>386</v>
      </c>
      <c r="B192" s="1" t="s">
        <v>387</v>
      </c>
      <c r="C192" s="3">
        <v>45887.0</v>
      </c>
      <c r="D192" s="1" t="s">
        <v>17</v>
      </c>
      <c r="E192" s="1" t="s">
        <v>111</v>
      </c>
      <c r="F192" s="1" t="s">
        <v>65</v>
      </c>
      <c r="G192" s="1">
        <v>1.0</v>
      </c>
      <c r="H192" s="1">
        <v>249.0</v>
      </c>
      <c r="I192" s="1">
        <v>0.0</v>
      </c>
      <c r="J192" s="1">
        <v>249.0</v>
      </c>
      <c r="K192" s="1" t="s">
        <v>20</v>
      </c>
      <c r="L192" s="1">
        <v>4.5</v>
      </c>
      <c r="M192" s="1">
        <v>33.0</v>
      </c>
      <c r="N192" s="1" t="s">
        <v>21</v>
      </c>
    </row>
    <row r="193">
      <c r="A193" s="1" t="s">
        <v>388</v>
      </c>
      <c r="B193" s="1" t="s">
        <v>276</v>
      </c>
      <c r="C193" s="3">
        <v>45839.0</v>
      </c>
      <c r="D193" s="1" t="s">
        <v>17</v>
      </c>
      <c r="E193" s="1" t="s">
        <v>111</v>
      </c>
      <c r="F193" s="1" t="s">
        <v>57</v>
      </c>
      <c r="G193" s="1">
        <v>2.0</v>
      </c>
      <c r="H193" s="1">
        <v>699.0</v>
      </c>
      <c r="I193" s="1">
        <v>0.07</v>
      </c>
      <c r="J193" s="1">
        <v>1300.14</v>
      </c>
      <c r="K193" s="1" t="s">
        <v>27</v>
      </c>
      <c r="L193" s="1">
        <v>4.3</v>
      </c>
      <c r="M193" s="1">
        <v>36.0</v>
      </c>
      <c r="N193" s="1" t="s">
        <v>21</v>
      </c>
    </row>
    <row r="194">
      <c r="A194" s="1" t="s">
        <v>389</v>
      </c>
      <c r="B194" s="1" t="s">
        <v>390</v>
      </c>
      <c r="C194" s="3">
        <v>46008.0</v>
      </c>
      <c r="D194" s="1" t="s">
        <v>41</v>
      </c>
      <c r="E194" s="1" t="s">
        <v>42</v>
      </c>
      <c r="F194" s="1" t="s">
        <v>57</v>
      </c>
      <c r="G194" s="1">
        <v>1.0</v>
      </c>
      <c r="H194" s="1">
        <v>49.0</v>
      </c>
      <c r="I194" s="1">
        <v>0.08</v>
      </c>
      <c r="J194" s="1">
        <v>45.08</v>
      </c>
      <c r="K194" s="1" t="s">
        <v>33</v>
      </c>
      <c r="L194" s="1">
        <v>3.8</v>
      </c>
      <c r="M194" s="1">
        <v>36.0</v>
      </c>
      <c r="N194" s="1" t="s">
        <v>21</v>
      </c>
    </row>
    <row r="195">
      <c r="A195" s="1" t="s">
        <v>391</v>
      </c>
      <c r="B195" s="1" t="s">
        <v>392</v>
      </c>
      <c r="C195" s="3">
        <v>46006.0</v>
      </c>
      <c r="D195" s="1" t="s">
        <v>24</v>
      </c>
      <c r="E195" s="1" t="s">
        <v>117</v>
      </c>
      <c r="F195" s="1" t="s">
        <v>65</v>
      </c>
      <c r="G195" s="1">
        <v>1.0</v>
      </c>
      <c r="H195" s="1">
        <v>1499.0</v>
      </c>
      <c r="I195" s="1">
        <v>0.1</v>
      </c>
      <c r="J195" s="1">
        <v>1349.1</v>
      </c>
      <c r="K195" s="1" t="s">
        <v>27</v>
      </c>
      <c r="L195" s="1">
        <v>3.5</v>
      </c>
      <c r="M195" s="1">
        <v>32.0</v>
      </c>
      <c r="N195" s="1" t="s">
        <v>21</v>
      </c>
    </row>
    <row r="196">
      <c r="A196" s="1" t="s">
        <v>393</v>
      </c>
      <c r="B196" s="1" t="s">
        <v>288</v>
      </c>
      <c r="C196" s="3">
        <v>45900.0</v>
      </c>
      <c r="D196" s="1" t="s">
        <v>30</v>
      </c>
      <c r="E196" s="1" t="s">
        <v>86</v>
      </c>
      <c r="F196" s="1" t="s">
        <v>19</v>
      </c>
      <c r="G196" s="1">
        <v>2.0</v>
      </c>
      <c r="H196" s="1">
        <v>1999.0</v>
      </c>
      <c r="I196" s="1">
        <v>0.13</v>
      </c>
      <c r="J196" s="1">
        <v>3478.26</v>
      </c>
      <c r="K196" s="1" t="s">
        <v>33</v>
      </c>
      <c r="L196" s="1">
        <v>4.0</v>
      </c>
      <c r="M196" s="1">
        <v>53.0</v>
      </c>
      <c r="N196" s="1" t="s">
        <v>21</v>
      </c>
    </row>
    <row r="197">
      <c r="A197" s="1" t="s">
        <v>179</v>
      </c>
      <c r="B197" s="1" t="s">
        <v>180</v>
      </c>
      <c r="C197" s="3">
        <v>45990.0</v>
      </c>
      <c r="D197" s="1" t="s">
        <v>41</v>
      </c>
      <c r="E197" s="1" t="s">
        <v>94</v>
      </c>
      <c r="F197" s="1" t="s">
        <v>19</v>
      </c>
      <c r="G197" s="1">
        <v>1.0</v>
      </c>
      <c r="H197" s="1">
        <v>1999.0</v>
      </c>
      <c r="I197" s="1">
        <v>0.13</v>
      </c>
      <c r="J197" s="1">
        <v>1739.13</v>
      </c>
      <c r="K197" s="1" t="s">
        <v>51</v>
      </c>
      <c r="L197" s="1">
        <v>4.1</v>
      </c>
      <c r="M197" s="1">
        <v>39.0</v>
      </c>
      <c r="N197" s="1" t="s">
        <v>21</v>
      </c>
    </row>
    <row r="198">
      <c r="A198" s="1" t="s">
        <v>394</v>
      </c>
      <c r="B198" s="1" t="s">
        <v>395</v>
      </c>
      <c r="C198" s="3">
        <v>45981.0</v>
      </c>
      <c r="D198" s="1" t="s">
        <v>24</v>
      </c>
      <c r="E198" s="1" t="s">
        <v>140</v>
      </c>
      <c r="F198" s="1" t="s">
        <v>65</v>
      </c>
      <c r="G198" s="1">
        <v>3.0</v>
      </c>
      <c r="H198" s="1">
        <v>1999.0</v>
      </c>
      <c r="I198" s="1">
        <v>0.01</v>
      </c>
      <c r="J198" s="1">
        <v>5937.03</v>
      </c>
      <c r="K198" s="1" t="s">
        <v>33</v>
      </c>
      <c r="L198" s="1">
        <v>4.7</v>
      </c>
      <c r="M198" s="1">
        <v>52.0</v>
      </c>
      <c r="N198" s="1" t="s">
        <v>21</v>
      </c>
    </row>
    <row r="199">
      <c r="A199" s="1" t="s">
        <v>396</v>
      </c>
      <c r="B199" s="1" t="s">
        <v>397</v>
      </c>
      <c r="C199" s="3">
        <v>45931.0</v>
      </c>
      <c r="D199" s="1" t="s">
        <v>17</v>
      </c>
      <c r="E199" s="1" t="s">
        <v>64</v>
      </c>
      <c r="F199" s="1" t="s">
        <v>32</v>
      </c>
      <c r="G199" s="1">
        <v>1.0</v>
      </c>
      <c r="H199" s="1">
        <v>149.0</v>
      </c>
      <c r="I199" s="1">
        <v>0.1</v>
      </c>
      <c r="J199" s="1">
        <v>134.1</v>
      </c>
      <c r="K199" s="1" t="s">
        <v>20</v>
      </c>
      <c r="L199" s="1">
        <v>4.2</v>
      </c>
      <c r="M199" s="1">
        <v>46.0</v>
      </c>
      <c r="N199" s="1" t="s">
        <v>21</v>
      </c>
    </row>
    <row r="200">
      <c r="A200" s="1" t="s">
        <v>398</v>
      </c>
      <c r="B200" s="1" t="s">
        <v>399</v>
      </c>
      <c r="C200" s="3">
        <v>45995.0</v>
      </c>
      <c r="D200" s="1" t="s">
        <v>17</v>
      </c>
      <c r="E200" s="1" t="s">
        <v>111</v>
      </c>
      <c r="F200" s="1" t="s">
        <v>19</v>
      </c>
      <c r="G200" s="1">
        <v>1.0</v>
      </c>
      <c r="H200" s="1">
        <v>199.0</v>
      </c>
      <c r="I200" s="1">
        <v>0.01</v>
      </c>
      <c r="J200" s="1">
        <v>197.01</v>
      </c>
      <c r="K200" s="1" t="s">
        <v>20</v>
      </c>
      <c r="L200" s="1">
        <v>5.0</v>
      </c>
      <c r="M200" s="1">
        <v>17.0</v>
      </c>
      <c r="N200" s="1" t="s">
        <v>21</v>
      </c>
    </row>
    <row r="201">
      <c r="A201" s="1" t="s">
        <v>400</v>
      </c>
      <c r="B201" s="1" t="s">
        <v>401</v>
      </c>
      <c r="C201" s="3">
        <v>45934.0</v>
      </c>
      <c r="D201" s="1" t="s">
        <v>17</v>
      </c>
      <c r="E201" s="1" t="s">
        <v>64</v>
      </c>
      <c r="F201" s="1" t="s">
        <v>57</v>
      </c>
      <c r="G201" s="1">
        <v>1.0</v>
      </c>
      <c r="H201" s="1">
        <v>249.0</v>
      </c>
      <c r="I201" s="1">
        <v>0.12</v>
      </c>
      <c r="J201" s="1">
        <v>219.12</v>
      </c>
      <c r="K201" s="1" t="s">
        <v>27</v>
      </c>
      <c r="L201" s="1">
        <v>4.1</v>
      </c>
      <c r="M201" s="1">
        <v>39.0</v>
      </c>
      <c r="N201" s="1" t="s">
        <v>21</v>
      </c>
    </row>
    <row r="202">
      <c r="A202" s="1" t="s">
        <v>402</v>
      </c>
      <c r="B202" s="1" t="s">
        <v>403</v>
      </c>
      <c r="C202" s="3">
        <v>45872.0</v>
      </c>
      <c r="D202" s="1" t="s">
        <v>41</v>
      </c>
      <c r="E202" s="1" t="s">
        <v>42</v>
      </c>
      <c r="F202" s="1" t="s">
        <v>19</v>
      </c>
      <c r="G202" s="1">
        <v>5.0</v>
      </c>
      <c r="H202" s="1">
        <v>699.0</v>
      </c>
      <c r="I202" s="1">
        <v>0.1</v>
      </c>
      <c r="J202" s="1">
        <v>3145.5</v>
      </c>
      <c r="K202" s="1" t="s">
        <v>27</v>
      </c>
      <c r="L202" s="1">
        <v>4.2</v>
      </c>
      <c r="M202" s="1">
        <v>46.0</v>
      </c>
      <c r="N202" s="1" t="s">
        <v>21</v>
      </c>
    </row>
    <row r="203">
      <c r="A203" s="1" t="s">
        <v>404</v>
      </c>
      <c r="B203" s="1" t="s">
        <v>158</v>
      </c>
      <c r="C203" s="3">
        <v>45875.0</v>
      </c>
      <c r="D203" s="1" t="s">
        <v>24</v>
      </c>
      <c r="E203" s="1" t="s">
        <v>48</v>
      </c>
      <c r="F203" s="1" t="s">
        <v>26</v>
      </c>
      <c r="G203" s="1">
        <v>1.0</v>
      </c>
      <c r="H203" s="1">
        <v>1499.0</v>
      </c>
      <c r="I203" s="1">
        <v>0.02</v>
      </c>
      <c r="J203" s="1">
        <v>1469.02</v>
      </c>
      <c r="K203" s="1" t="s">
        <v>20</v>
      </c>
      <c r="L203" s="1">
        <v>4.4</v>
      </c>
      <c r="M203" s="1">
        <v>53.0</v>
      </c>
      <c r="N203" s="1" t="s">
        <v>21</v>
      </c>
    </row>
    <row r="204">
      <c r="A204" s="1" t="s">
        <v>405</v>
      </c>
      <c r="B204" s="1" t="s">
        <v>355</v>
      </c>
      <c r="C204" s="3">
        <v>45914.0</v>
      </c>
      <c r="D204" s="1" t="s">
        <v>17</v>
      </c>
      <c r="E204" s="1" t="s">
        <v>111</v>
      </c>
      <c r="F204" s="1" t="s">
        <v>65</v>
      </c>
      <c r="G204" s="1">
        <v>1.0</v>
      </c>
      <c r="H204" s="1">
        <v>1999.0</v>
      </c>
      <c r="I204" s="1">
        <v>0.28</v>
      </c>
      <c r="J204" s="1">
        <v>1439.28</v>
      </c>
      <c r="K204" s="1" t="s">
        <v>20</v>
      </c>
      <c r="L204" s="1">
        <v>3.7</v>
      </c>
      <c r="M204" s="1">
        <v>18.0</v>
      </c>
      <c r="N204" s="1" t="s">
        <v>21</v>
      </c>
    </row>
    <row r="205">
      <c r="A205" s="1" t="s">
        <v>406</v>
      </c>
      <c r="B205" s="1" t="s">
        <v>407</v>
      </c>
      <c r="C205" s="3">
        <v>45955.0</v>
      </c>
      <c r="D205" s="1" t="s">
        <v>17</v>
      </c>
      <c r="E205" s="1" t="s">
        <v>18</v>
      </c>
      <c r="F205" s="1" t="s">
        <v>57</v>
      </c>
      <c r="G205" s="1">
        <v>3.0</v>
      </c>
      <c r="H205" s="1">
        <v>49.0</v>
      </c>
      <c r="I205" s="1">
        <v>0.18</v>
      </c>
      <c r="J205" s="1">
        <v>120.54</v>
      </c>
      <c r="K205" s="1" t="s">
        <v>51</v>
      </c>
      <c r="L205" s="1">
        <v>5.0</v>
      </c>
      <c r="M205" s="1">
        <v>23.0</v>
      </c>
      <c r="N205" s="1" t="s">
        <v>38</v>
      </c>
    </row>
    <row r="206">
      <c r="A206" s="1" t="s">
        <v>408</v>
      </c>
      <c r="B206" s="1" t="s">
        <v>409</v>
      </c>
      <c r="C206" s="3">
        <v>45846.0</v>
      </c>
      <c r="D206" s="1" t="s">
        <v>24</v>
      </c>
      <c r="E206" s="1" t="s">
        <v>117</v>
      </c>
      <c r="F206" s="1" t="s">
        <v>26</v>
      </c>
      <c r="G206" s="1">
        <v>4.0</v>
      </c>
      <c r="H206" s="1">
        <v>199.0</v>
      </c>
      <c r="I206" s="1">
        <v>0.09</v>
      </c>
      <c r="J206" s="1">
        <v>724.36</v>
      </c>
      <c r="K206" s="1" t="s">
        <v>33</v>
      </c>
      <c r="L206" s="1">
        <v>4.0</v>
      </c>
      <c r="M206" s="1">
        <v>32.0</v>
      </c>
      <c r="N206" s="1" t="s">
        <v>38</v>
      </c>
    </row>
    <row r="207">
      <c r="A207" s="1" t="s">
        <v>410</v>
      </c>
      <c r="B207" s="1" t="s">
        <v>411</v>
      </c>
      <c r="C207" s="3">
        <v>45880.0</v>
      </c>
      <c r="D207" s="1" t="s">
        <v>41</v>
      </c>
      <c r="E207" s="1" t="s">
        <v>42</v>
      </c>
      <c r="F207" s="1" t="s">
        <v>26</v>
      </c>
      <c r="G207" s="1">
        <v>3.0</v>
      </c>
      <c r="H207" s="1">
        <v>99.0</v>
      </c>
      <c r="I207" s="1">
        <v>0.09</v>
      </c>
      <c r="J207" s="1">
        <v>270.27</v>
      </c>
      <c r="K207" s="1" t="s">
        <v>20</v>
      </c>
      <c r="L207" s="1">
        <v>3.3</v>
      </c>
      <c r="M207" s="1">
        <v>49.0</v>
      </c>
      <c r="N207" s="1" t="s">
        <v>21</v>
      </c>
    </row>
    <row r="208">
      <c r="A208" s="1" t="s">
        <v>412</v>
      </c>
      <c r="B208" s="1" t="s">
        <v>413</v>
      </c>
      <c r="C208" s="3">
        <v>45939.0</v>
      </c>
      <c r="D208" s="1" t="s">
        <v>24</v>
      </c>
      <c r="E208" s="1" t="s">
        <v>48</v>
      </c>
      <c r="F208" s="1" t="s">
        <v>32</v>
      </c>
      <c r="G208" s="1">
        <v>1.0</v>
      </c>
      <c r="H208" s="1">
        <v>499.0</v>
      </c>
      <c r="I208" s="1">
        <v>0.13</v>
      </c>
      <c r="J208" s="1">
        <v>434.13</v>
      </c>
      <c r="K208" s="1" t="s">
        <v>51</v>
      </c>
      <c r="L208" s="1">
        <v>4.6</v>
      </c>
      <c r="M208" s="1">
        <v>23.0</v>
      </c>
      <c r="N208" s="1" t="s">
        <v>21</v>
      </c>
    </row>
    <row r="209">
      <c r="A209" s="1" t="s">
        <v>414</v>
      </c>
      <c r="B209" s="1" t="s">
        <v>415</v>
      </c>
      <c r="C209" s="3">
        <v>45869.0</v>
      </c>
      <c r="D209" s="1" t="s">
        <v>30</v>
      </c>
      <c r="E209" s="1" t="s">
        <v>70</v>
      </c>
      <c r="F209" s="1" t="s">
        <v>37</v>
      </c>
      <c r="G209" s="1">
        <v>4.0</v>
      </c>
      <c r="H209" s="1">
        <v>999.0</v>
      </c>
      <c r="I209" s="1">
        <v>0.01</v>
      </c>
      <c r="J209" s="1">
        <v>3956.04</v>
      </c>
      <c r="K209" s="1" t="s">
        <v>51</v>
      </c>
      <c r="L209" s="1">
        <v>3.7</v>
      </c>
      <c r="M209" s="1">
        <v>30.0</v>
      </c>
      <c r="N209" s="1" t="s">
        <v>21</v>
      </c>
    </row>
    <row r="210">
      <c r="A210" s="1" t="s">
        <v>416</v>
      </c>
      <c r="B210" s="1" t="s">
        <v>417</v>
      </c>
      <c r="C210" s="3">
        <v>45932.0</v>
      </c>
      <c r="D210" s="1" t="s">
        <v>30</v>
      </c>
      <c r="E210" s="1" t="s">
        <v>86</v>
      </c>
      <c r="F210" s="1" t="s">
        <v>26</v>
      </c>
      <c r="G210" s="1">
        <v>2.0</v>
      </c>
      <c r="H210" s="1">
        <v>49.0</v>
      </c>
      <c r="I210" s="1">
        <v>0.01</v>
      </c>
      <c r="J210" s="1">
        <v>97.02</v>
      </c>
      <c r="K210" s="1" t="s">
        <v>20</v>
      </c>
      <c r="L210" s="1">
        <v>5.0</v>
      </c>
      <c r="M210" s="1">
        <v>35.0</v>
      </c>
      <c r="N210" s="1" t="s">
        <v>21</v>
      </c>
    </row>
    <row r="211">
      <c r="A211" s="1" t="s">
        <v>418</v>
      </c>
      <c r="B211" s="1" t="s">
        <v>419</v>
      </c>
      <c r="C211" s="3">
        <v>45898.0</v>
      </c>
      <c r="D211" s="1" t="s">
        <v>17</v>
      </c>
      <c r="E211" s="1" t="s">
        <v>64</v>
      </c>
      <c r="F211" s="1" t="s">
        <v>32</v>
      </c>
      <c r="G211" s="1">
        <v>2.0</v>
      </c>
      <c r="H211" s="1">
        <v>199.0</v>
      </c>
      <c r="I211" s="1">
        <v>0.12</v>
      </c>
      <c r="J211" s="1">
        <v>350.24</v>
      </c>
      <c r="K211" s="1" t="s">
        <v>20</v>
      </c>
      <c r="L211" s="1">
        <v>4.3</v>
      </c>
      <c r="M211" s="1">
        <v>35.0</v>
      </c>
      <c r="N211" s="1" t="s">
        <v>21</v>
      </c>
    </row>
    <row r="212">
      <c r="A212" s="1" t="s">
        <v>420</v>
      </c>
      <c r="B212" s="1" t="s">
        <v>421</v>
      </c>
      <c r="C212" s="3">
        <v>45874.0</v>
      </c>
      <c r="D212" s="1" t="s">
        <v>24</v>
      </c>
      <c r="E212" s="1" t="s">
        <v>117</v>
      </c>
      <c r="F212" s="1" t="s">
        <v>37</v>
      </c>
      <c r="G212" s="1">
        <v>3.0</v>
      </c>
      <c r="H212" s="1">
        <v>199.0</v>
      </c>
      <c r="I212" s="1">
        <v>0.17</v>
      </c>
      <c r="J212" s="1">
        <v>495.51</v>
      </c>
      <c r="K212" s="1" t="s">
        <v>51</v>
      </c>
      <c r="L212" s="1">
        <v>4.2</v>
      </c>
      <c r="M212" s="1">
        <v>36.0</v>
      </c>
      <c r="N212" s="1" t="s">
        <v>21</v>
      </c>
    </row>
    <row r="213">
      <c r="A213" s="1" t="s">
        <v>422</v>
      </c>
      <c r="B213" s="1" t="s">
        <v>423</v>
      </c>
      <c r="C213" s="3">
        <v>45975.0</v>
      </c>
      <c r="D213" s="1" t="s">
        <v>30</v>
      </c>
      <c r="E213" s="1" t="s">
        <v>86</v>
      </c>
      <c r="F213" s="1" t="s">
        <v>57</v>
      </c>
      <c r="G213" s="1">
        <v>3.0</v>
      </c>
      <c r="H213" s="1">
        <v>249.0</v>
      </c>
      <c r="I213" s="1">
        <v>0.27</v>
      </c>
      <c r="J213" s="1">
        <v>545.31</v>
      </c>
      <c r="K213" s="1" t="s">
        <v>20</v>
      </c>
      <c r="L213" s="1">
        <v>4.5</v>
      </c>
      <c r="M213" s="1">
        <v>39.0</v>
      </c>
      <c r="N213" s="1" t="s">
        <v>21</v>
      </c>
    </row>
    <row r="214">
      <c r="A214" s="1" t="s">
        <v>424</v>
      </c>
      <c r="B214" s="1" t="s">
        <v>425</v>
      </c>
      <c r="C214" s="3">
        <v>45921.0</v>
      </c>
      <c r="D214" s="1" t="s">
        <v>17</v>
      </c>
      <c r="E214" s="1" t="s">
        <v>111</v>
      </c>
      <c r="F214" s="1" t="s">
        <v>65</v>
      </c>
      <c r="G214" s="1">
        <v>4.0</v>
      </c>
      <c r="H214" s="1">
        <v>249.0</v>
      </c>
      <c r="I214" s="1">
        <v>0.09</v>
      </c>
      <c r="J214" s="1">
        <v>906.36</v>
      </c>
      <c r="K214" s="1" t="s">
        <v>33</v>
      </c>
      <c r="L214" s="1">
        <v>5.0</v>
      </c>
      <c r="M214" s="1">
        <v>38.0</v>
      </c>
      <c r="N214" s="1" t="s">
        <v>21</v>
      </c>
    </row>
    <row r="215">
      <c r="A215" s="1" t="s">
        <v>426</v>
      </c>
      <c r="B215" s="1" t="s">
        <v>427</v>
      </c>
      <c r="C215" s="3">
        <v>45871.0</v>
      </c>
      <c r="D215" s="1" t="s">
        <v>30</v>
      </c>
      <c r="E215" s="1" t="s">
        <v>31</v>
      </c>
      <c r="F215" s="1" t="s">
        <v>57</v>
      </c>
      <c r="G215" s="1">
        <v>3.0</v>
      </c>
      <c r="H215" s="1">
        <v>49.0</v>
      </c>
      <c r="I215" s="1">
        <v>0.33</v>
      </c>
      <c r="J215" s="1">
        <v>98.49</v>
      </c>
      <c r="K215" s="1" t="s">
        <v>27</v>
      </c>
      <c r="L215" s="1">
        <v>4.2</v>
      </c>
      <c r="M215" s="1">
        <v>29.0</v>
      </c>
      <c r="N215" s="1" t="s">
        <v>21</v>
      </c>
    </row>
    <row r="216">
      <c r="A216" s="1" t="s">
        <v>428</v>
      </c>
      <c r="B216" s="1" t="s">
        <v>429</v>
      </c>
      <c r="C216" s="3">
        <v>45893.0</v>
      </c>
      <c r="D216" s="1" t="s">
        <v>17</v>
      </c>
      <c r="E216" s="1" t="s">
        <v>64</v>
      </c>
      <c r="F216" s="1" t="s">
        <v>37</v>
      </c>
      <c r="G216" s="1">
        <v>4.0</v>
      </c>
      <c r="H216" s="1">
        <v>249.0</v>
      </c>
      <c r="I216" s="1">
        <v>0.07</v>
      </c>
      <c r="J216" s="1">
        <v>926.28</v>
      </c>
      <c r="K216" s="1" t="s">
        <v>33</v>
      </c>
      <c r="L216" s="1">
        <v>4.4</v>
      </c>
      <c r="M216" s="1">
        <v>28.0</v>
      </c>
      <c r="N216" s="1" t="s">
        <v>21</v>
      </c>
    </row>
    <row r="217">
      <c r="A217" s="1" t="s">
        <v>430</v>
      </c>
      <c r="B217" s="1" t="s">
        <v>431</v>
      </c>
      <c r="C217" s="3">
        <v>45952.0</v>
      </c>
      <c r="D217" s="1" t="s">
        <v>17</v>
      </c>
      <c r="E217" s="1" t="s">
        <v>64</v>
      </c>
      <c r="F217" s="1" t="s">
        <v>65</v>
      </c>
      <c r="G217" s="1">
        <v>1.0</v>
      </c>
      <c r="H217" s="1">
        <v>99.0</v>
      </c>
      <c r="I217" s="1">
        <v>0.21</v>
      </c>
      <c r="J217" s="1">
        <v>78.21</v>
      </c>
      <c r="K217" s="1" t="s">
        <v>51</v>
      </c>
      <c r="L217" s="1">
        <v>4.3</v>
      </c>
      <c r="M217" s="1">
        <v>31.0</v>
      </c>
      <c r="N217" s="1" t="s">
        <v>21</v>
      </c>
    </row>
    <row r="218">
      <c r="A218" s="1" t="s">
        <v>432</v>
      </c>
      <c r="B218" s="1" t="s">
        <v>308</v>
      </c>
      <c r="C218" s="3">
        <v>45974.0</v>
      </c>
      <c r="D218" s="1" t="s">
        <v>30</v>
      </c>
      <c r="E218" s="1" t="s">
        <v>70</v>
      </c>
      <c r="F218" s="1" t="s">
        <v>32</v>
      </c>
      <c r="G218" s="1">
        <v>2.0</v>
      </c>
      <c r="H218" s="1">
        <v>99.0</v>
      </c>
      <c r="I218" s="1">
        <v>0.06</v>
      </c>
      <c r="J218" s="1">
        <v>186.12</v>
      </c>
      <c r="K218" s="1" t="s">
        <v>33</v>
      </c>
      <c r="L218" s="1">
        <v>2.8</v>
      </c>
      <c r="M218" s="1">
        <v>43.0</v>
      </c>
      <c r="N218" s="1" t="s">
        <v>21</v>
      </c>
    </row>
    <row r="219">
      <c r="A219" s="1" t="s">
        <v>433</v>
      </c>
      <c r="B219" s="1" t="s">
        <v>326</v>
      </c>
      <c r="C219" s="3">
        <v>46019.0</v>
      </c>
      <c r="D219" s="1" t="s">
        <v>24</v>
      </c>
      <c r="E219" s="1" t="s">
        <v>48</v>
      </c>
      <c r="F219" s="1" t="s">
        <v>26</v>
      </c>
      <c r="G219" s="1">
        <v>1.0</v>
      </c>
      <c r="H219" s="1">
        <v>99.0</v>
      </c>
      <c r="I219" s="1">
        <v>0.19</v>
      </c>
      <c r="J219" s="1">
        <v>80.19</v>
      </c>
      <c r="K219" s="1" t="s">
        <v>51</v>
      </c>
      <c r="L219" s="1">
        <v>2.5</v>
      </c>
      <c r="M219" s="1">
        <v>42.0</v>
      </c>
      <c r="N219" s="1" t="s">
        <v>21</v>
      </c>
    </row>
    <row r="220">
      <c r="A220" s="1" t="s">
        <v>434</v>
      </c>
      <c r="B220" s="1" t="s">
        <v>208</v>
      </c>
      <c r="C220" s="3">
        <v>45933.0</v>
      </c>
      <c r="D220" s="1" t="s">
        <v>24</v>
      </c>
      <c r="E220" s="1" t="s">
        <v>48</v>
      </c>
      <c r="F220" s="1" t="s">
        <v>37</v>
      </c>
      <c r="G220" s="1">
        <v>1.0</v>
      </c>
      <c r="H220" s="1">
        <v>249.0</v>
      </c>
      <c r="I220" s="1">
        <v>0.22</v>
      </c>
      <c r="J220" s="1">
        <v>194.22</v>
      </c>
      <c r="K220" s="1" t="s">
        <v>33</v>
      </c>
      <c r="L220" s="1">
        <v>3.6</v>
      </c>
      <c r="M220" s="1">
        <v>25.0</v>
      </c>
      <c r="N220" s="1" t="s">
        <v>21</v>
      </c>
    </row>
    <row r="221">
      <c r="A221" s="1" t="s">
        <v>435</v>
      </c>
      <c r="B221" s="1" t="s">
        <v>436</v>
      </c>
      <c r="C221" s="3">
        <v>45906.0</v>
      </c>
      <c r="D221" s="1" t="s">
        <v>24</v>
      </c>
      <c r="E221" s="1" t="s">
        <v>25</v>
      </c>
      <c r="F221" s="1" t="s">
        <v>65</v>
      </c>
      <c r="G221" s="1">
        <v>3.0</v>
      </c>
      <c r="H221" s="1">
        <v>999.0</v>
      </c>
      <c r="I221" s="1">
        <v>0.22</v>
      </c>
      <c r="J221" s="1">
        <v>2337.66</v>
      </c>
      <c r="K221" s="1" t="s">
        <v>20</v>
      </c>
      <c r="L221" s="1">
        <v>3.4</v>
      </c>
      <c r="M221" s="1">
        <v>50.0</v>
      </c>
      <c r="N221" s="1" t="s">
        <v>21</v>
      </c>
    </row>
    <row r="222">
      <c r="A222" s="1" t="s">
        <v>437</v>
      </c>
      <c r="B222" s="1" t="s">
        <v>176</v>
      </c>
      <c r="C222" s="3">
        <v>45918.0</v>
      </c>
      <c r="D222" s="1" t="s">
        <v>24</v>
      </c>
      <c r="E222" s="1" t="s">
        <v>25</v>
      </c>
      <c r="F222" s="1" t="s">
        <v>32</v>
      </c>
      <c r="G222" s="1">
        <v>4.0</v>
      </c>
      <c r="H222" s="1">
        <v>99.0</v>
      </c>
      <c r="I222" s="1">
        <v>0.11</v>
      </c>
      <c r="J222" s="1">
        <v>352.44</v>
      </c>
      <c r="K222" s="1" t="s">
        <v>51</v>
      </c>
      <c r="L222" s="1">
        <v>4.6</v>
      </c>
      <c r="M222" s="1">
        <v>39.0</v>
      </c>
      <c r="N222" s="1" t="s">
        <v>21</v>
      </c>
    </row>
    <row r="223">
      <c r="A223" s="1" t="s">
        <v>311</v>
      </c>
      <c r="B223" s="1" t="s">
        <v>174</v>
      </c>
      <c r="C223" s="3">
        <v>45924.0</v>
      </c>
      <c r="D223" s="1" t="s">
        <v>24</v>
      </c>
      <c r="E223" s="1" t="s">
        <v>25</v>
      </c>
      <c r="F223" s="1" t="s">
        <v>65</v>
      </c>
      <c r="G223" s="1">
        <v>1.0</v>
      </c>
      <c r="H223" s="1">
        <v>99.0</v>
      </c>
      <c r="I223" s="1">
        <v>0.0</v>
      </c>
      <c r="J223" s="1">
        <v>99.0</v>
      </c>
      <c r="K223" s="1" t="s">
        <v>27</v>
      </c>
      <c r="L223" s="1">
        <v>4.0</v>
      </c>
      <c r="M223" s="1">
        <v>34.0</v>
      </c>
      <c r="N223" s="1" t="s">
        <v>21</v>
      </c>
    </row>
    <row r="224">
      <c r="A224" s="1" t="s">
        <v>438</v>
      </c>
      <c r="B224" s="1" t="s">
        <v>439</v>
      </c>
      <c r="C224" s="3">
        <v>45926.0</v>
      </c>
      <c r="D224" s="1" t="s">
        <v>24</v>
      </c>
      <c r="E224" s="1" t="s">
        <v>48</v>
      </c>
      <c r="F224" s="1" t="s">
        <v>26</v>
      </c>
      <c r="G224" s="1">
        <v>2.0</v>
      </c>
      <c r="H224" s="1">
        <v>1499.0</v>
      </c>
      <c r="I224" s="1">
        <v>0.04</v>
      </c>
      <c r="J224" s="1">
        <v>2878.08</v>
      </c>
      <c r="K224" s="1" t="s">
        <v>20</v>
      </c>
      <c r="L224" s="1">
        <v>4.3</v>
      </c>
      <c r="M224" s="1">
        <v>29.0</v>
      </c>
      <c r="N224" s="1" t="s">
        <v>38</v>
      </c>
    </row>
    <row r="225">
      <c r="A225" s="1" t="s">
        <v>440</v>
      </c>
      <c r="B225" s="1" t="s">
        <v>441</v>
      </c>
      <c r="C225" s="3">
        <v>45928.0</v>
      </c>
      <c r="D225" s="1" t="s">
        <v>17</v>
      </c>
      <c r="E225" s="1" t="s">
        <v>64</v>
      </c>
      <c r="F225" s="1" t="s">
        <v>19</v>
      </c>
      <c r="G225" s="1">
        <v>2.0</v>
      </c>
      <c r="H225" s="1">
        <v>499.0</v>
      </c>
      <c r="I225" s="1">
        <v>0.07</v>
      </c>
      <c r="J225" s="1">
        <v>928.14</v>
      </c>
      <c r="K225" s="1" t="s">
        <v>20</v>
      </c>
      <c r="L225" s="1">
        <v>3.6</v>
      </c>
      <c r="M225" s="1">
        <v>48.0</v>
      </c>
      <c r="N225" s="1" t="s">
        <v>21</v>
      </c>
    </row>
    <row r="226">
      <c r="A226" s="1" t="s">
        <v>442</v>
      </c>
      <c r="B226" s="1" t="s">
        <v>443</v>
      </c>
      <c r="C226" s="3">
        <v>45900.0</v>
      </c>
      <c r="D226" s="1" t="s">
        <v>41</v>
      </c>
      <c r="E226" s="1" t="s">
        <v>45</v>
      </c>
      <c r="F226" s="1" t="s">
        <v>26</v>
      </c>
      <c r="G226" s="1">
        <v>1.0</v>
      </c>
      <c r="H226" s="1">
        <v>99.0</v>
      </c>
      <c r="I226" s="1">
        <v>0.25</v>
      </c>
      <c r="J226" s="1">
        <v>74.25</v>
      </c>
      <c r="K226" s="1" t="s">
        <v>27</v>
      </c>
      <c r="L226" s="1">
        <v>4.5</v>
      </c>
      <c r="M226" s="1">
        <v>26.0</v>
      </c>
      <c r="N226" s="1" t="s">
        <v>21</v>
      </c>
    </row>
    <row r="227">
      <c r="A227" s="1" t="s">
        <v>444</v>
      </c>
      <c r="B227" s="1" t="s">
        <v>265</v>
      </c>
      <c r="C227" s="3">
        <v>45862.0</v>
      </c>
      <c r="D227" s="1" t="s">
        <v>17</v>
      </c>
      <c r="E227" s="1" t="s">
        <v>18</v>
      </c>
      <c r="F227" s="1" t="s">
        <v>26</v>
      </c>
      <c r="G227" s="1">
        <v>1.0</v>
      </c>
      <c r="H227" s="1">
        <v>99.0</v>
      </c>
      <c r="I227" s="1">
        <v>0.16</v>
      </c>
      <c r="J227" s="1">
        <v>83.16</v>
      </c>
      <c r="K227" s="1" t="s">
        <v>27</v>
      </c>
      <c r="L227" s="1">
        <v>4.5</v>
      </c>
      <c r="M227" s="1">
        <v>31.0</v>
      </c>
      <c r="N227" s="1" t="s">
        <v>21</v>
      </c>
    </row>
    <row r="228">
      <c r="A228" s="1" t="s">
        <v>445</v>
      </c>
      <c r="B228" s="1" t="s">
        <v>446</v>
      </c>
      <c r="C228" s="3">
        <v>45908.0</v>
      </c>
      <c r="D228" s="1" t="s">
        <v>17</v>
      </c>
      <c r="E228" s="1" t="s">
        <v>111</v>
      </c>
      <c r="F228" s="1" t="s">
        <v>65</v>
      </c>
      <c r="G228" s="1">
        <v>2.0</v>
      </c>
      <c r="H228" s="1">
        <v>99.0</v>
      </c>
      <c r="I228" s="1">
        <v>0.04</v>
      </c>
      <c r="J228" s="1">
        <v>190.08</v>
      </c>
      <c r="K228" s="1" t="s">
        <v>33</v>
      </c>
      <c r="L228" s="1">
        <v>4.0</v>
      </c>
      <c r="M228" s="1">
        <v>28.0</v>
      </c>
      <c r="N228" s="1" t="s">
        <v>21</v>
      </c>
    </row>
    <row r="229">
      <c r="A229" s="1" t="s">
        <v>447</v>
      </c>
      <c r="B229" s="1" t="s">
        <v>392</v>
      </c>
      <c r="C229" s="3">
        <v>45917.0</v>
      </c>
      <c r="D229" s="1" t="s">
        <v>24</v>
      </c>
      <c r="E229" s="1" t="s">
        <v>117</v>
      </c>
      <c r="F229" s="1" t="s">
        <v>37</v>
      </c>
      <c r="G229" s="1">
        <v>4.0</v>
      </c>
      <c r="H229" s="1">
        <v>299.0</v>
      </c>
      <c r="I229" s="1">
        <v>0.07</v>
      </c>
      <c r="J229" s="1">
        <v>1112.28</v>
      </c>
      <c r="K229" s="1" t="s">
        <v>33</v>
      </c>
      <c r="L229" s="1">
        <v>3.5</v>
      </c>
      <c r="M229" s="1">
        <v>49.0</v>
      </c>
      <c r="N229" s="1" t="s">
        <v>21</v>
      </c>
    </row>
    <row r="230">
      <c r="A230" s="1" t="s">
        <v>448</v>
      </c>
      <c r="B230" s="1" t="s">
        <v>449</v>
      </c>
      <c r="C230" s="3">
        <v>45915.0</v>
      </c>
      <c r="D230" s="1" t="s">
        <v>24</v>
      </c>
      <c r="E230" s="1" t="s">
        <v>140</v>
      </c>
      <c r="F230" s="1" t="s">
        <v>26</v>
      </c>
      <c r="G230" s="1">
        <v>1.0</v>
      </c>
      <c r="H230" s="1">
        <v>249.0</v>
      </c>
      <c r="I230" s="1">
        <v>0.21</v>
      </c>
      <c r="J230" s="1">
        <v>196.71</v>
      </c>
      <c r="K230" s="1" t="s">
        <v>27</v>
      </c>
      <c r="L230" s="1">
        <v>5.0</v>
      </c>
      <c r="M230" s="1">
        <v>34.0</v>
      </c>
      <c r="N230" s="1" t="s">
        <v>21</v>
      </c>
    </row>
    <row r="231">
      <c r="A231" s="1" t="s">
        <v>450</v>
      </c>
      <c r="B231" s="1" t="s">
        <v>407</v>
      </c>
      <c r="C231" s="3">
        <v>45844.0</v>
      </c>
      <c r="D231" s="1" t="s">
        <v>17</v>
      </c>
      <c r="E231" s="1" t="s">
        <v>111</v>
      </c>
      <c r="F231" s="1" t="s">
        <v>19</v>
      </c>
      <c r="G231" s="1">
        <v>1.0</v>
      </c>
      <c r="H231" s="1">
        <v>699.0</v>
      </c>
      <c r="I231" s="1">
        <v>0.03</v>
      </c>
      <c r="J231" s="1">
        <v>678.03</v>
      </c>
      <c r="K231" s="1" t="s">
        <v>27</v>
      </c>
      <c r="L231" s="1">
        <v>4.7</v>
      </c>
      <c r="M231" s="1">
        <v>40.0</v>
      </c>
      <c r="N231" s="1" t="s">
        <v>21</v>
      </c>
    </row>
    <row r="232">
      <c r="A232" s="1" t="s">
        <v>451</v>
      </c>
      <c r="B232" s="1" t="s">
        <v>452</v>
      </c>
      <c r="C232" s="3">
        <v>45958.0</v>
      </c>
      <c r="D232" s="1" t="s">
        <v>24</v>
      </c>
      <c r="E232" s="1" t="s">
        <v>140</v>
      </c>
      <c r="F232" s="1" t="s">
        <v>32</v>
      </c>
      <c r="G232" s="1">
        <v>4.0</v>
      </c>
      <c r="H232" s="1">
        <v>149.0</v>
      </c>
      <c r="I232" s="1">
        <v>0.13</v>
      </c>
      <c r="J232" s="1">
        <v>518.52</v>
      </c>
      <c r="K232" s="1" t="s">
        <v>20</v>
      </c>
      <c r="L232" s="1">
        <v>4.0</v>
      </c>
      <c r="M232" s="1">
        <v>32.0</v>
      </c>
      <c r="N232" s="1" t="s">
        <v>21</v>
      </c>
    </row>
    <row r="233">
      <c r="A233" s="1" t="s">
        <v>290</v>
      </c>
      <c r="B233" s="1" t="s">
        <v>291</v>
      </c>
      <c r="C233" s="3">
        <v>45882.0</v>
      </c>
      <c r="D233" s="1" t="s">
        <v>30</v>
      </c>
      <c r="E233" s="1" t="s">
        <v>31</v>
      </c>
      <c r="F233" s="1" t="s">
        <v>19</v>
      </c>
      <c r="G233" s="1">
        <v>1.0</v>
      </c>
      <c r="H233" s="1">
        <v>499.0</v>
      </c>
      <c r="I233" s="1">
        <v>0.29</v>
      </c>
      <c r="J233" s="1">
        <v>354.29</v>
      </c>
      <c r="K233" s="1" t="s">
        <v>33</v>
      </c>
      <c r="L233" s="1">
        <v>4.2</v>
      </c>
      <c r="M233" s="1">
        <v>48.0</v>
      </c>
      <c r="N233" s="1" t="s">
        <v>21</v>
      </c>
    </row>
    <row r="234">
      <c r="A234" s="1" t="s">
        <v>453</v>
      </c>
      <c r="B234" s="1" t="s">
        <v>454</v>
      </c>
      <c r="C234" s="3">
        <v>45851.0</v>
      </c>
      <c r="D234" s="1" t="s">
        <v>24</v>
      </c>
      <c r="E234" s="1" t="s">
        <v>25</v>
      </c>
      <c r="F234" s="1" t="s">
        <v>37</v>
      </c>
      <c r="G234" s="1">
        <v>4.0</v>
      </c>
      <c r="H234" s="1">
        <v>499.0</v>
      </c>
      <c r="I234" s="1">
        <v>0.06</v>
      </c>
      <c r="J234" s="1">
        <v>1876.24</v>
      </c>
      <c r="K234" s="1" t="s">
        <v>33</v>
      </c>
      <c r="L234" s="1">
        <v>3.7</v>
      </c>
      <c r="M234" s="1">
        <v>29.0</v>
      </c>
      <c r="N234" s="1" t="s">
        <v>21</v>
      </c>
    </row>
    <row r="235">
      <c r="A235" s="1" t="s">
        <v>455</v>
      </c>
      <c r="B235" s="1" t="s">
        <v>328</v>
      </c>
      <c r="C235" s="3">
        <v>45931.0</v>
      </c>
      <c r="D235" s="1" t="s">
        <v>24</v>
      </c>
      <c r="E235" s="1" t="s">
        <v>48</v>
      </c>
      <c r="F235" s="1" t="s">
        <v>19</v>
      </c>
      <c r="G235" s="1">
        <v>1.0</v>
      </c>
      <c r="H235" s="1">
        <v>999.0</v>
      </c>
      <c r="I235" s="1">
        <v>0.11</v>
      </c>
      <c r="J235" s="1">
        <v>889.11</v>
      </c>
      <c r="K235" s="1" t="s">
        <v>27</v>
      </c>
      <c r="L235" s="1">
        <v>4.4</v>
      </c>
      <c r="M235" s="1">
        <v>51.0</v>
      </c>
      <c r="N235" s="1" t="s">
        <v>21</v>
      </c>
    </row>
    <row r="236">
      <c r="A236" s="1" t="s">
        <v>456</v>
      </c>
      <c r="B236" s="1" t="s">
        <v>180</v>
      </c>
      <c r="C236" s="3">
        <v>46001.0</v>
      </c>
      <c r="D236" s="1" t="s">
        <v>30</v>
      </c>
      <c r="E236" s="1" t="s">
        <v>70</v>
      </c>
      <c r="F236" s="1" t="s">
        <v>37</v>
      </c>
      <c r="G236" s="1">
        <v>2.0</v>
      </c>
      <c r="H236" s="1">
        <v>999.0</v>
      </c>
      <c r="I236" s="1">
        <v>0.17</v>
      </c>
      <c r="J236" s="1">
        <v>1658.34</v>
      </c>
      <c r="K236" s="1" t="s">
        <v>33</v>
      </c>
      <c r="L236" s="1">
        <v>3.7</v>
      </c>
      <c r="M236" s="1">
        <v>52.0</v>
      </c>
      <c r="N236" s="1" t="s">
        <v>21</v>
      </c>
    </row>
    <row r="237">
      <c r="A237" s="1" t="s">
        <v>457</v>
      </c>
      <c r="B237" s="1" t="s">
        <v>203</v>
      </c>
      <c r="C237" s="3">
        <v>45870.0</v>
      </c>
      <c r="D237" s="1" t="s">
        <v>24</v>
      </c>
      <c r="E237" s="1" t="s">
        <v>25</v>
      </c>
      <c r="F237" s="1" t="s">
        <v>37</v>
      </c>
      <c r="G237" s="1">
        <v>1.0</v>
      </c>
      <c r="H237" s="1">
        <v>699.0</v>
      </c>
      <c r="I237" s="1">
        <v>0.0</v>
      </c>
      <c r="J237" s="1">
        <v>699.0</v>
      </c>
      <c r="K237" s="1" t="s">
        <v>51</v>
      </c>
      <c r="L237" s="1">
        <v>3.8</v>
      </c>
      <c r="M237" s="1">
        <v>39.0</v>
      </c>
      <c r="N237" s="1" t="s">
        <v>21</v>
      </c>
    </row>
    <row r="238">
      <c r="A238" s="1" t="s">
        <v>458</v>
      </c>
      <c r="B238" s="1" t="s">
        <v>459</v>
      </c>
      <c r="C238" s="3">
        <v>45882.0</v>
      </c>
      <c r="D238" s="1" t="s">
        <v>41</v>
      </c>
      <c r="E238" s="1" t="s">
        <v>94</v>
      </c>
      <c r="F238" s="1" t="s">
        <v>32</v>
      </c>
      <c r="G238" s="1">
        <v>3.0</v>
      </c>
      <c r="H238" s="1">
        <v>99.0</v>
      </c>
      <c r="I238" s="1">
        <v>0.05</v>
      </c>
      <c r="J238" s="1">
        <v>282.15</v>
      </c>
      <c r="K238" s="1" t="s">
        <v>51</v>
      </c>
      <c r="L238" s="1">
        <v>4.8</v>
      </c>
      <c r="M238" s="1">
        <v>29.0</v>
      </c>
      <c r="N238" s="1" t="s">
        <v>38</v>
      </c>
    </row>
    <row r="239">
      <c r="A239" s="1" t="s">
        <v>460</v>
      </c>
      <c r="B239" s="1" t="s">
        <v>429</v>
      </c>
      <c r="C239" s="3">
        <v>45895.0</v>
      </c>
      <c r="D239" s="1" t="s">
        <v>17</v>
      </c>
      <c r="E239" s="1" t="s">
        <v>75</v>
      </c>
      <c r="F239" s="1" t="s">
        <v>19</v>
      </c>
      <c r="G239" s="1">
        <v>2.0</v>
      </c>
      <c r="H239" s="1">
        <v>249.0</v>
      </c>
      <c r="I239" s="1">
        <v>0.22</v>
      </c>
      <c r="J239" s="1">
        <v>388.44</v>
      </c>
      <c r="K239" s="1" t="s">
        <v>20</v>
      </c>
      <c r="L239" s="1">
        <v>4.3</v>
      </c>
      <c r="M239" s="1">
        <v>25.0</v>
      </c>
      <c r="N239" s="1" t="s">
        <v>21</v>
      </c>
    </row>
    <row r="240">
      <c r="A240" s="1" t="s">
        <v>461</v>
      </c>
      <c r="B240" s="1" t="s">
        <v>462</v>
      </c>
      <c r="C240" s="3">
        <v>45871.0</v>
      </c>
      <c r="D240" s="1" t="s">
        <v>17</v>
      </c>
      <c r="E240" s="1" t="s">
        <v>64</v>
      </c>
      <c r="F240" s="1" t="s">
        <v>26</v>
      </c>
      <c r="G240" s="1">
        <v>1.0</v>
      </c>
      <c r="H240" s="1">
        <v>249.0</v>
      </c>
      <c r="I240" s="1">
        <v>0.16</v>
      </c>
      <c r="J240" s="1">
        <v>209.16</v>
      </c>
      <c r="K240" s="1" t="s">
        <v>20</v>
      </c>
      <c r="L240" s="1">
        <v>3.7</v>
      </c>
      <c r="M240" s="1">
        <v>51.0</v>
      </c>
      <c r="N240" s="1" t="s">
        <v>21</v>
      </c>
    </row>
    <row r="241">
      <c r="A241" s="1" t="s">
        <v>463</v>
      </c>
      <c r="B241" s="1" t="s">
        <v>194</v>
      </c>
      <c r="C241" s="3">
        <v>45903.0</v>
      </c>
      <c r="D241" s="1" t="s">
        <v>17</v>
      </c>
      <c r="E241" s="1" t="s">
        <v>18</v>
      </c>
      <c r="F241" s="1" t="s">
        <v>19</v>
      </c>
      <c r="G241" s="1">
        <v>1.0</v>
      </c>
      <c r="H241" s="1">
        <v>1999.0</v>
      </c>
      <c r="I241" s="1">
        <v>0.08</v>
      </c>
      <c r="J241" s="1">
        <v>1839.08</v>
      </c>
      <c r="K241" s="1" t="s">
        <v>33</v>
      </c>
      <c r="L241" s="1">
        <v>3.5</v>
      </c>
      <c r="M241" s="1">
        <v>44.0</v>
      </c>
      <c r="N241" s="1" t="s">
        <v>21</v>
      </c>
    </row>
    <row r="242">
      <c r="A242" s="1" t="s">
        <v>464</v>
      </c>
      <c r="B242" s="1" t="s">
        <v>315</v>
      </c>
      <c r="C242" s="3">
        <v>45907.0</v>
      </c>
      <c r="D242" s="1" t="s">
        <v>24</v>
      </c>
      <c r="E242" s="1" t="s">
        <v>117</v>
      </c>
      <c r="F242" s="1" t="s">
        <v>26</v>
      </c>
      <c r="G242" s="1">
        <v>1.0</v>
      </c>
      <c r="H242" s="1">
        <v>199.0</v>
      </c>
      <c r="I242" s="1">
        <v>0.0</v>
      </c>
      <c r="J242" s="1">
        <v>199.0</v>
      </c>
      <c r="K242" s="1" t="s">
        <v>33</v>
      </c>
      <c r="L242" s="1">
        <v>3.4</v>
      </c>
      <c r="M242" s="1">
        <v>26.0</v>
      </c>
      <c r="N242" s="1" t="s">
        <v>21</v>
      </c>
    </row>
    <row r="243">
      <c r="A243" s="1" t="s">
        <v>465</v>
      </c>
      <c r="B243" s="1" t="s">
        <v>158</v>
      </c>
      <c r="C243" s="3">
        <v>45882.0</v>
      </c>
      <c r="D243" s="1" t="s">
        <v>30</v>
      </c>
      <c r="E243" s="1" t="s">
        <v>70</v>
      </c>
      <c r="F243" s="1" t="s">
        <v>37</v>
      </c>
      <c r="G243" s="1">
        <v>2.0</v>
      </c>
      <c r="H243" s="1">
        <v>299.0</v>
      </c>
      <c r="I243" s="1">
        <v>0.05</v>
      </c>
      <c r="J243" s="1">
        <v>568.1</v>
      </c>
      <c r="K243" s="1" t="s">
        <v>33</v>
      </c>
      <c r="L243" s="1">
        <v>5.0</v>
      </c>
      <c r="M243" s="1">
        <v>32.0</v>
      </c>
      <c r="N243" s="1" t="s">
        <v>21</v>
      </c>
    </row>
    <row r="244">
      <c r="A244" s="1" t="s">
        <v>466</v>
      </c>
      <c r="B244" s="1" t="s">
        <v>467</v>
      </c>
      <c r="C244" s="3">
        <v>45995.0</v>
      </c>
      <c r="D244" s="1" t="s">
        <v>41</v>
      </c>
      <c r="E244" s="1" t="s">
        <v>94</v>
      </c>
      <c r="F244" s="1" t="s">
        <v>57</v>
      </c>
      <c r="G244" s="1">
        <v>3.0</v>
      </c>
      <c r="H244" s="1">
        <v>199.0</v>
      </c>
      <c r="I244" s="1">
        <v>0.3</v>
      </c>
      <c r="J244" s="1">
        <v>417.9</v>
      </c>
      <c r="K244" s="1" t="s">
        <v>27</v>
      </c>
      <c r="L244" s="1">
        <v>4.3</v>
      </c>
      <c r="M244" s="1">
        <v>59.0</v>
      </c>
      <c r="N244" s="1" t="s">
        <v>21</v>
      </c>
    </row>
    <row r="245">
      <c r="A245" s="1" t="s">
        <v>468</v>
      </c>
      <c r="B245" s="1" t="s">
        <v>176</v>
      </c>
      <c r="C245" s="3">
        <v>45881.0</v>
      </c>
      <c r="D245" s="1" t="s">
        <v>41</v>
      </c>
      <c r="E245" s="1" t="s">
        <v>94</v>
      </c>
      <c r="F245" s="1" t="s">
        <v>37</v>
      </c>
      <c r="G245" s="1">
        <v>4.0</v>
      </c>
      <c r="H245" s="1">
        <v>1999.0</v>
      </c>
      <c r="I245" s="1">
        <v>0.27</v>
      </c>
      <c r="J245" s="1">
        <v>5837.08</v>
      </c>
      <c r="K245" s="1" t="s">
        <v>33</v>
      </c>
      <c r="L245" s="1">
        <v>4.2</v>
      </c>
      <c r="M245" s="1">
        <v>27.0</v>
      </c>
      <c r="N245" s="1" t="s">
        <v>21</v>
      </c>
    </row>
    <row r="246">
      <c r="A246" s="1" t="s">
        <v>469</v>
      </c>
      <c r="B246" s="1" t="s">
        <v>147</v>
      </c>
      <c r="C246" s="3">
        <v>46015.0</v>
      </c>
      <c r="D246" s="1" t="s">
        <v>24</v>
      </c>
      <c r="E246" s="1" t="s">
        <v>117</v>
      </c>
      <c r="F246" s="1" t="s">
        <v>26</v>
      </c>
      <c r="G246" s="1">
        <v>1.0</v>
      </c>
      <c r="H246" s="1">
        <v>499.0</v>
      </c>
      <c r="I246" s="1">
        <v>0.19</v>
      </c>
      <c r="J246" s="1">
        <v>404.19</v>
      </c>
      <c r="K246" s="1" t="s">
        <v>51</v>
      </c>
      <c r="L246" s="1">
        <v>4.2</v>
      </c>
      <c r="M246" s="1">
        <v>34.0</v>
      </c>
      <c r="N246" s="1" t="s">
        <v>21</v>
      </c>
    </row>
    <row r="247">
      <c r="A247" s="1" t="s">
        <v>470</v>
      </c>
      <c r="B247" s="1" t="s">
        <v>471</v>
      </c>
      <c r="C247" s="3">
        <v>45894.0</v>
      </c>
      <c r="D247" s="1" t="s">
        <v>24</v>
      </c>
      <c r="E247" s="1" t="s">
        <v>117</v>
      </c>
      <c r="F247" s="1" t="s">
        <v>37</v>
      </c>
      <c r="G247" s="1">
        <v>1.0</v>
      </c>
      <c r="H247" s="1">
        <v>99.0</v>
      </c>
      <c r="I247" s="1">
        <v>0.08</v>
      </c>
      <c r="J247" s="1">
        <v>91.08</v>
      </c>
      <c r="K247" s="1" t="s">
        <v>27</v>
      </c>
      <c r="L247" s="1">
        <v>4.7</v>
      </c>
      <c r="M247" s="1">
        <v>38.0</v>
      </c>
      <c r="N247" s="1" t="s">
        <v>21</v>
      </c>
    </row>
    <row r="248">
      <c r="A248" s="1" t="s">
        <v>84</v>
      </c>
      <c r="B248" s="1" t="s">
        <v>85</v>
      </c>
      <c r="C248" s="3">
        <v>45915.0</v>
      </c>
      <c r="D248" s="1" t="s">
        <v>30</v>
      </c>
      <c r="E248" s="1" t="s">
        <v>86</v>
      </c>
      <c r="F248" s="1" t="s">
        <v>37</v>
      </c>
      <c r="G248" s="1">
        <v>5.0</v>
      </c>
      <c r="H248" s="1">
        <v>49.0</v>
      </c>
      <c r="I248" s="1">
        <v>0.09</v>
      </c>
      <c r="J248" s="1">
        <v>222.95</v>
      </c>
      <c r="K248" s="1" t="s">
        <v>33</v>
      </c>
      <c r="L248" s="1">
        <v>3.7</v>
      </c>
      <c r="M248" s="1">
        <v>36.0</v>
      </c>
      <c r="N248" s="1" t="s">
        <v>38</v>
      </c>
    </row>
    <row r="249">
      <c r="A249" s="1" t="s">
        <v>472</v>
      </c>
      <c r="B249" s="1" t="s">
        <v>473</v>
      </c>
      <c r="C249" s="3">
        <v>45974.0</v>
      </c>
      <c r="D249" s="1" t="s">
        <v>41</v>
      </c>
      <c r="E249" s="1" t="s">
        <v>54</v>
      </c>
      <c r="F249" s="1" t="s">
        <v>19</v>
      </c>
      <c r="G249" s="1">
        <v>4.0</v>
      </c>
      <c r="H249" s="1">
        <v>999.0</v>
      </c>
      <c r="I249" s="1">
        <v>0.01</v>
      </c>
      <c r="J249" s="1">
        <v>3956.04</v>
      </c>
      <c r="K249" s="1" t="s">
        <v>51</v>
      </c>
      <c r="L249" s="1">
        <v>3.9</v>
      </c>
      <c r="M249" s="1">
        <v>36.0</v>
      </c>
      <c r="N249" s="1" t="s">
        <v>21</v>
      </c>
    </row>
    <row r="250">
      <c r="A250" s="1" t="s">
        <v>474</v>
      </c>
      <c r="B250" s="1" t="s">
        <v>475</v>
      </c>
      <c r="C250" s="3">
        <v>45844.0</v>
      </c>
      <c r="D250" s="1" t="s">
        <v>41</v>
      </c>
      <c r="E250" s="1" t="s">
        <v>42</v>
      </c>
      <c r="F250" s="1" t="s">
        <v>32</v>
      </c>
      <c r="G250" s="1">
        <v>3.0</v>
      </c>
      <c r="H250" s="1">
        <v>99.0</v>
      </c>
      <c r="I250" s="1">
        <v>0.15</v>
      </c>
      <c r="J250" s="1">
        <v>252.45</v>
      </c>
      <c r="K250" s="1" t="s">
        <v>27</v>
      </c>
      <c r="L250" s="1">
        <v>4.5</v>
      </c>
      <c r="M250" s="1">
        <v>41.0</v>
      </c>
      <c r="N250" s="1" t="s">
        <v>21</v>
      </c>
    </row>
    <row r="251">
      <c r="A251" s="1" t="s">
        <v>476</v>
      </c>
      <c r="B251" s="1" t="s">
        <v>47</v>
      </c>
      <c r="C251" s="3">
        <v>45856.0</v>
      </c>
      <c r="D251" s="1" t="s">
        <v>41</v>
      </c>
      <c r="E251" s="1" t="s">
        <v>42</v>
      </c>
      <c r="F251" s="1" t="s">
        <v>26</v>
      </c>
      <c r="G251" s="1">
        <v>1.0</v>
      </c>
      <c r="H251" s="1">
        <v>49.0</v>
      </c>
      <c r="I251" s="1">
        <v>0.2</v>
      </c>
      <c r="J251" s="1">
        <v>39.2</v>
      </c>
      <c r="K251" s="1" t="s">
        <v>33</v>
      </c>
      <c r="L251" s="1">
        <v>4.6</v>
      </c>
      <c r="M251" s="1">
        <v>26.0</v>
      </c>
      <c r="N251" s="1" t="s">
        <v>21</v>
      </c>
    </row>
    <row r="252">
      <c r="A252" s="1" t="s">
        <v>477</v>
      </c>
      <c r="B252" s="1" t="s">
        <v>121</v>
      </c>
      <c r="C252" s="3">
        <v>45869.0</v>
      </c>
      <c r="D252" s="1" t="s">
        <v>41</v>
      </c>
      <c r="E252" s="1" t="s">
        <v>54</v>
      </c>
      <c r="F252" s="1" t="s">
        <v>65</v>
      </c>
      <c r="G252" s="1">
        <v>2.0</v>
      </c>
      <c r="H252" s="1">
        <v>699.0</v>
      </c>
      <c r="I252" s="1">
        <v>0.18</v>
      </c>
      <c r="J252" s="1">
        <v>1146.36</v>
      </c>
      <c r="K252" s="1" t="s">
        <v>27</v>
      </c>
      <c r="L252" s="1">
        <v>3.4</v>
      </c>
      <c r="M252" s="1">
        <v>24.0</v>
      </c>
      <c r="N252" s="1" t="s">
        <v>21</v>
      </c>
    </row>
    <row r="253">
      <c r="A253" s="1" t="s">
        <v>478</v>
      </c>
      <c r="B253" s="1" t="s">
        <v>411</v>
      </c>
      <c r="C253" s="3">
        <v>46014.0</v>
      </c>
      <c r="D253" s="1" t="s">
        <v>24</v>
      </c>
      <c r="E253" s="1" t="s">
        <v>48</v>
      </c>
      <c r="F253" s="1" t="s">
        <v>32</v>
      </c>
      <c r="G253" s="1">
        <v>1.0</v>
      </c>
      <c r="H253" s="1">
        <v>699.0</v>
      </c>
      <c r="I253" s="1">
        <v>0.17</v>
      </c>
      <c r="J253" s="1">
        <v>580.17</v>
      </c>
      <c r="K253" s="1" t="s">
        <v>51</v>
      </c>
      <c r="L253" s="1">
        <v>4.4</v>
      </c>
      <c r="M253" s="1">
        <v>27.0</v>
      </c>
      <c r="N253" s="1" t="s">
        <v>21</v>
      </c>
    </row>
    <row r="254">
      <c r="A254" s="1" t="s">
        <v>479</v>
      </c>
      <c r="B254" s="1" t="s">
        <v>158</v>
      </c>
      <c r="C254" s="3">
        <v>46021.0</v>
      </c>
      <c r="D254" s="1" t="s">
        <v>30</v>
      </c>
      <c r="E254" s="1" t="s">
        <v>36</v>
      </c>
      <c r="F254" s="1" t="s">
        <v>32</v>
      </c>
      <c r="G254" s="1">
        <v>1.0</v>
      </c>
      <c r="H254" s="1">
        <v>149.0</v>
      </c>
      <c r="I254" s="1">
        <v>0.15</v>
      </c>
      <c r="J254" s="1">
        <v>126.65</v>
      </c>
      <c r="K254" s="1" t="s">
        <v>20</v>
      </c>
      <c r="L254" s="1">
        <v>4.0</v>
      </c>
      <c r="M254" s="1">
        <v>49.0</v>
      </c>
      <c r="N254" s="1" t="s">
        <v>21</v>
      </c>
    </row>
    <row r="255">
      <c r="A255" s="1" t="s">
        <v>480</v>
      </c>
      <c r="B255" s="1" t="s">
        <v>241</v>
      </c>
      <c r="C255" s="3">
        <v>45933.0</v>
      </c>
      <c r="D255" s="1" t="s">
        <v>17</v>
      </c>
      <c r="E255" s="1" t="s">
        <v>64</v>
      </c>
      <c r="F255" s="1" t="s">
        <v>32</v>
      </c>
      <c r="G255" s="1">
        <v>1.0</v>
      </c>
      <c r="H255" s="1">
        <v>149.0</v>
      </c>
      <c r="I255" s="1">
        <v>0.13</v>
      </c>
      <c r="J255" s="1">
        <v>129.63</v>
      </c>
      <c r="K255" s="1" t="s">
        <v>27</v>
      </c>
      <c r="L255" s="1">
        <v>3.4</v>
      </c>
      <c r="M255" s="1">
        <v>51.0</v>
      </c>
      <c r="N255" s="1" t="s">
        <v>21</v>
      </c>
    </row>
    <row r="256">
      <c r="A256" s="1" t="s">
        <v>481</v>
      </c>
      <c r="B256" s="1" t="s">
        <v>482</v>
      </c>
      <c r="C256" s="3">
        <v>45885.0</v>
      </c>
      <c r="D256" s="1" t="s">
        <v>30</v>
      </c>
      <c r="E256" s="1" t="s">
        <v>86</v>
      </c>
      <c r="F256" s="1" t="s">
        <v>19</v>
      </c>
      <c r="G256" s="1">
        <v>2.0</v>
      </c>
      <c r="H256" s="1">
        <v>499.0</v>
      </c>
      <c r="I256" s="1">
        <v>0.09</v>
      </c>
      <c r="J256" s="1">
        <v>908.18</v>
      </c>
      <c r="K256" s="1" t="s">
        <v>33</v>
      </c>
      <c r="L256" s="1">
        <v>3.7</v>
      </c>
      <c r="M256" s="1">
        <v>34.0</v>
      </c>
      <c r="N256" s="1" t="s">
        <v>21</v>
      </c>
    </row>
    <row r="257">
      <c r="A257" s="1" t="s">
        <v>483</v>
      </c>
      <c r="B257" s="1" t="s">
        <v>296</v>
      </c>
      <c r="C257" s="3">
        <v>45930.0</v>
      </c>
      <c r="D257" s="1" t="s">
        <v>30</v>
      </c>
      <c r="E257" s="1" t="s">
        <v>86</v>
      </c>
      <c r="F257" s="1" t="s">
        <v>65</v>
      </c>
      <c r="G257" s="1">
        <v>3.0</v>
      </c>
      <c r="H257" s="1">
        <v>99.0</v>
      </c>
      <c r="I257" s="1">
        <v>0.17</v>
      </c>
      <c r="J257" s="1">
        <v>246.51</v>
      </c>
      <c r="K257" s="1" t="s">
        <v>20</v>
      </c>
      <c r="L257" s="1">
        <v>3.7</v>
      </c>
      <c r="M257" s="1">
        <v>27.0</v>
      </c>
      <c r="N257" s="1" t="s">
        <v>21</v>
      </c>
    </row>
    <row r="258">
      <c r="A258" s="1" t="s">
        <v>484</v>
      </c>
      <c r="B258" s="1" t="s">
        <v>485</v>
      </c>
      <c r="C258" s="3">
        <v>45934.0</v>
      </c>
      <c r="D258" s="1" t="s">
        <v>17</v>
      </c>
      <c r="E258" s="1" t="s">
        <v>18</v>
      </c>
      <c r="F258" s="1" t="s">
        <v>26</v>
      </c>
      <c r="G258" s="1">
        <v>6.0</v>
      </c>
      <c r="H258" s="1">
        <v>1999.0</v>
      </c>
      <c r="I258" s="1">
        <v>0.04</v>
      </c>
      <c r="J258" s="1">
        <v>11514.24</v>
      </c>
      <c r="K258" s="1" t="s">
        <v>33</v>
      </c>
      <c r="M258" s="1">
        <v>34.0</v>
      </c>
      <c r="N258" s="1" t="s">
        <v>21</v>
      </c>
    </row>
    <row r="259">
      <c r="A259" s="1" t="s">
        <v>486</v>
      </c>
      <c r="B259" s="1" t="s">
        <v>487</v>
      </c>
      <c r="C259" s="3">
        <v>45906.0</v>
      </c>
      <c r="D259" s="1" t="s">
        <v>24</v>
      </c>
      <c r="E259" s="1" t="s">
        <v>117</v>
      </c>
      <c r="F259" s="1" t="s">
        <v>19</v>
      </c>
      <c r="G259" s="1">
        <v>1.0</v>
      </c>
      <c r="H259" s="1">
        <v>199.0</v>
      </c>
      <c r="I259" s="1">
        <v>0.09</v>
      </c>
      <c r="J259" s="1">
        <v>181.09</v>
      </c>
      <c r="K259" s="1" t="s">
        <v>27</v>
      </c>
      <c r="L259" s="1">
        <v>4.9</v>
      </c>
      <c r="M259" s="1">
        <v>50.0</v>
      </c>
      <c r="N259" s="1" t="s">
        <v>21</v>
      </c>
    </row>
    <row r="260">
      <c r="A260" s="1" t="s">
        <v>488</v>
      </c>
      <c r="B260" s="1" t="s">
        <v>208</v>
      </c>
      <c r="C260" s="3">
        <v>45915.0</v>
      </c>
      <c r="D260" s="1" t="s">
        <v>41</v>
      </c>
      <c r="E260" s="1" t="s">
        <v>54</v>
      </c>
      <c r="F260" s="1" t="s">
        <v>57</v>
      </c>
      <c r="G260" s="1">
        <v>5.0</v>
      </c>
      <c r="H260" s="1">
        <v>249.0</v>
      </c>
      <c r="I260" s="1">
        <v>0.12</v>
      </c>
      <c r="J260" s="1">
        <v>1095.6</v>
      </c>
      <c r="K260" s="1" t="s">
        <v>27</v>
      </c>
      <c r="L260" s="1">
        <v>4.6</v>
      </c>
      <c r="M260" s="1">
        <v>33.0</v>
      </c>
      <c r="N260" s="1" t="s">
        <v>21</v>
      </c>
    </row>
    <row r="261">
      <c r="A261" s="1" t="s">
        <v>489</v>
      </c>
      <c r="B261" s="1" t="s">
        <v>147</v>
      </c>
      <c r="C261" s="3">
        <v>45976.0</v>
      </c>
      <c r="D261" s="1" t="s">
        <v>30</v>
      </c>
      <c r="F261" s="1" t="s">
        <v>65</v>
      </c>
      <c r="G261" s="1">
        <v>1.0</v>
      </c>
      <c r="H261" s="1">
        <v>149.0</v>
      </c>
      <c r="I261" s="1">
        <v>0.03</v>
      </c>
      <c r="J261" s="1">
        <v>144.53</v>
      </c>
      <c r="K261" s="1" t="s">
        <v>33</v>
      </c>
      <c r="L261" s="1">
        <v>4.3</v>
      </c>
      <c r="M261" s="1">
        <v>41.0</v>
      </c>
      <c r="N261" s="1" t="s">
        <v>21</v>
      </c>
    </row>
    <row r="262">
      <c r="A262" s="1" t="s">
        <v>490</v>
      </c>
      <c r="B262" s="1" t="s">
        <v>491</v>
      </c>
      <c r="C262" s="3">
        <v>46020.0</v>
      </c>
      <c r="D262" s="1" t="s">
        <v>30</v>
      </c>
      <c r="E262" s="1" t="s">
        <v>36</v>
      </c>
      <c r="F262" s="1" t="s">
        <v>32</v>
      </c>
      <c r="G262" s="1">
        <v>1.0</v>
      </c>
      <c r="H262" s="1">
        <v>499.0</v>
      </c>
      <c r="I262" s="1">
        <v>0.17</v>
      </c>
      <c r="J262" s="1">
        <v>414.17</v>
      </c>
      <c r="K262" s="1" t="s">
        <v>33</v>
      </c>
      <c r="L262" s="1">
        <v>2.9</v>
      </c>
      <c r="M262" s="1">
        <v>28.0</v>
      </c>
      <c r="N262" s="1" t="s">
        <v>21</v>
      </c>
    </row>
    <row r="263">
      <c r="A263" s="1" t="s">
        <v>492</v>
      </c>
      <c r="B263" s="1" t="s">
        <v>239</v>
      </c>
      <c r="C263" s="3">
        <v>45843.0</v>
      </c>
      <c r="D263" s="1" t="s">
        <v>24</v>
      </c>
      <c r="E263" s="1" t="s">
        <v>25</v>
      </c>
      <c r="F263" s="1" t="s">
        <v>26</v>
      </c>
      <c r="G263" s="1">
        <v>2.0</v>
      </c>
      <c r="H263" s="1">
        <v>699.0</v>
      </c>
      <c r="I263" s="1">
        <v>0.17</v>
      </c>
      <c r="J263" s="1">
        <v>1160.34</v>
      </c>
      <c r="K263" s="1" t="s">
        <v>20</v>
      </c>
      <c r="L263" s="1">
        <v>4.4</v>
      </c>
      <c r="M263" s="1">
        <v>41.0</v>
      </c>
      <c r="N263" s="1" t="s">
        <v>21</v>
      </c>
    </row>
    <row r="264">
      <c r="A264" s="1" t="s">
        <v>493</v>
      </c>
      <c r="B264" s="1" t="s">
        <v>494</v>
      </c>
      <c r="C264" s="3">
        <v>45957.0</v>
      </c>
      <c r="D264" s="1" t="s">
        <v>41</v>
      </c>
      <c r="E264" s="1" t="s">
        <v>42</v>
      </c>
      <c r="F264" s="1" t="s">
        <v>26</v>
      </c>
      <c r="G264" s="1">
        <v>3.0</v>
      </c>
      <c r="H264" s="1">
        <v>199.0</v>
      </c>
      <c r="I264" s="1">
        <v>0.09</v>
      </c>
      <c r="J264" s="1">
        <v>543.27</v>
      </c>
      <c r="K264" s="1" t="s">
        <v>33</v>
      </c>
      <c r="L264" s="1">
        <v>3.9</v>
      </c>
      <c r="M264" s="1">
        <v>25.0</v>
      </c>
      <c r="N264" s="1" t="s">
        <v>21</v>
      </c>
    </row>
    <row r="265">
      <c r="A265" s="1" t="s">
        <v>495</v>
      </c>
      <c r="B265" s="1" t="s">
        <v>300</v>
      </c>
      <c r="C265" s="3">
        <v>45868.0</v>
      </c>
      <c r="D265" s="1" t="s">
        <v>30</v>
      </c>
      <c r="E265" s="1" t="s">
        <v>86</v>
      </c>
      <c r="F265" s="1" t="s">
        <v>26</v>
      </c>
      <c r="G265" s="1">
        <v>2.0</v>
      </c>
      <c r="H265" s="1">
        <v>99.0</v>
      </c>
      <c r="I265" s="1">
        <v>0.17</v>
      </c>
      <c r="J265" s="1">
        <v>164.34</v>
      </c>
      <c r="K265" s="1" t="s">
        <v>27</v>
      </c>
      <c r="L265" s="1">
        <v>3.7</v>
      </c>
      <c r="M265" s="1">
        <v>27.0</v>
      </c>
      <c r="N265" s="1" t="s">
        <v>21</v>
      </c>
    </row>
    <row r="266">
      <c r="A266" s="1" t="s">
        <v>496</v>
      </c>
      <c r="B266" s="1" t="s">
        <v>239</v>
      </c>
      <c r="C266" s="3">
        <v>45906.0</v>
      </c>
      <c r="D266" s="1" t="s">
        <v>41</v>
      </c>
      <c r="F266" s="1" t="s">
        <v>37</v>
      </c>
      <c r="G266" s="1">
        <v>3.0</v>
      </c>
      <c r="H266" s="1">
        <v>49.0</v>
      </c>
      <c r="I266" s="1">
        <v>0.0</v>
      </c>
      <c r="J266" s="1">
        <v>147.0</v>
      </c>
      <c r="K266" s="1" t="s">
        <v>27</v>
      </c>
      <c r="L266" s="1">
        <v>2.4</v>
      </c>
      <c r="M266" s="1">
        <v>35.0</v>
      </c>
      <c r="N266" s="1" t="s">
        <v>21</v>
      </c>
    </row>
    <row r="267">
      <c r="A267" s="1" t="s">
        <v>497</v>
      </c>
      <c r="B267" s="1" t="s">
        <v>188</v>
      </c>
      <c r="C267" s="3">
        <v>45873.0</v>
      </c>
      <c r="D267" s="1" t="s">
        <v>41</v>
      </c>
      <c r="E267" s="1" t="s">
        <v>45</v>
      </c>
      <c r="F267" s="1" t="s">
        <v>37</v>
      </c>
      <c r="G267" s="1">
        <v>2.0</v>
      </c>
      <c r="H267" s="1">
        <v>299.0</v>
      </c>
      <c r="I267" s="1">
        <v>0.16</v>
      </c>
      <c r="J267" s="1">
        <v>502.32</v>
      </c>
      <c r="K267" s="1" t="s">
        <v>51</v>
      </c>
      <c r="L267" s="1">
        <v>4.8</v>
      </c>
      <c r="M267" s="1">
        <v>31.0</v>
      </c>
      <c r="N267" s="1" t="s">
        <v>21</v>
      </c>
    </row>
    <row r="268">
      <c r="A268" s="1" t="s">
        <v>498</v>
      </c>
      <c r="B268" s="1" t="s">
        <v>90</v>
      </c>
      <c r="C268" s="3">
        <v>45939.0</v>
      </c>
      <c r="D268" s="1" t="s">
        <v>17</v>
      </c>
      <c r="E268" s="1" t="s">
        <v>18</v>
      </c>
      <c r="F268" s="1" t="s">
        <v>19</v>
      </c>
      <c r="G268" s="1">
        <v>2.0</v>
      </c>
      <c r="H268" s="1">
        <v>199.0</v>
      </c>
      <c r="I268" s="1">
        <v>0.0</v>
      </c>
      <c r="J268" s="1">
        <v>398.0</v>
      </c>
      <c r="K268" s="1" t="s">
        <v>27</v>
      </c>
      <c r="L268" s="1">
        <v>3.7</v>
      </c>
      <c r="M268" s="1">
        <v>34.0</v>
      </c>
      <c r="N268" s="1" t="s">
        <v>21</v>
      </c>
    </row>
    <row r="269">
      <c r="A269" s="1" t="s">
        <v>499</v>
      </c>
      <c r="B269" s="1" t="s">
        <v>500</v>
      </c>
      <c r="C269" s="3">
        <v>45996.0</v>
      </c>
      <c r="D269" s="1" t="s">
        <v>17</v>
      </c>
      <c r="E269" s="1" t="s">
        <v>18</v>
      </c>
      <c r="F269" s="1" t="s">
        <v>32</v>
      </c>
      <c r="G269" s="1">
        <v>3.0</v>
      </c>
      <c r="H269" s="1">
        <v>299.0</v>
      </c>
      <c r="I269" s="1">
        <v>0.09</v>
      </c>
      <c r="J269" s="1">
        <v>816.27</v>
      </c>
      <c r="K269" s="1" t="s">
        <v>51</v>
      </c>
      <c r="L269" s="1">
        <v>4.5</v>
      </c>
      <c r="M269" s="1">
        <v>42.0</v>
      </c>
      <c r="N269" s="1" t="s">
        <v>21</v>
      </c>
    </row>
    <row r="270">
      <c r="A270" s="1" t="s">
        <v>501</v>
      </c>
      <c r="B270" s="1" t="s">
        <v>502</v>
      </c>
      <c r="C270" s="3">
        <v>45862.0</v>
      </c>
      <c r="D270" s="1" t="s">
        <v>24</v>
      </c>
      <c r="E270" s="1" t="s">
        <v>117</v>
      </c>
      <c r="F270" s="1" t="s">
        <v>65</v>
      </c>
      <c r="G270" s="1">
        <v>3.0</v>
      </c>
      <c r="H270" s="1">
        <v>999.0</v>
      </c>
      <c r="I270" s="1">
        <v>0.1</v>
      </c>
      <c r="J270" s="1">
        <v>2697.3</v>
      </c>
      <c r="K270" s="1" t="s">
        <v>27</v>
      </c>
      <c r="L270" s="1">
        <v>4.2</v>
      </c>
      <c r="M270" s="1">
        <v>24.0</v>
      </c>
      <c r="N270" s="1" t="s">
        <v>21</v>
      </c>
    </row>
    <row r="271">
      <c r="A271" s="1" t="s">
        <v>503</v>
      </c>
      <c r="B271" s="1" t="s">
        <v>99</v>
      </c>
      <c r="C271" s="3">
        <v>45974.0</v>
      </c>
      <c r="D271" s="1" t="s">
        <v>17</v>
      </c>
      <c r="E271" s="1" t="s">
        <v>18</v>
      </c>
      <c r="F271" s="1" t="s">
        <v>57</v>
      </c>
      <c r="G271" s="1">
        <v>2.0</v>
      </c>
      <c r="H271" s="1">
        <v>149.0</v>
      </c>
      <c r="I271" s="1">
        <v>0.1</v>
      </c>
      <c r="J271" s="1">
        <v>268.2</v>
      </c>
      <c r="K271" s="1" t="s">
        <v>33</v>
      </c>
      <c r="L271" s="1">
        <v>3.7</v>
      </c>
      <c r="M271" s="1">
        <v>30.0</v>
      </c>
      <c r="N271" s="1" t="s">
        <v>21</v>
      </c>
    </row>
    <row r="272">
      <c r="A272" s="1" t="s">
        <v>504</v>
      </c>
      <c r="B272" s="1" t="s">
        <v>336</v>
      </c>
      <c r="C272" s="3">
        <v>45908.0</v>
      </c>
      <c r="D272" s="1" t="s">
        <v>41</v>
      </c>
      <c r="E272" s="1" t="s">
        <v>54</v>
      </c>
      <c r="F272" s="1" t="s">
        <v>19</v>
      </c>
      <c r="G272" s="1">
        <v>3.0</v>
      </c>
      <c r="H272" s="1">
        <v>1499.0</v>
      </c>
      <c r="I272" s="1">
        <v>0.18</v>
      </c>
      <c r="J272" s="1">
        <v>3687.54</v>
      </c>
      <c r="K272" s="1" t="s">
        <v>51</v>
      </c>
      <c r="L272" s="1">
        <v>4.7</v>
      </c>
      <c r="M272" s="1">
        <v>36.0</v>
      </c>
      <c r="N272" s="1" t="s">
        <v>21</v>
      </c>
    </row>
    <row r="273">
      <c r="A273" s="1" t="s">
        <v>505</v>
      </c>
      <c r="B273" s="1" t="s">
        <v>506</v>
      </c>
      <c r="C273" s="3">
        <v>45961.0</v>
      </c>
      <c r="D273" s="1" t="s">
        <v>24</v>
      </c>
      <c r="E273" s="1" t="s">
        <v>25</v>
      </c>
      <c r="F273" s="1" t="s">
        <v>19</v>
      </c>
      <c r="G273" s="1">
        <v>1.0</v>
      </c>
      <c r="H273" s="1">
        <v>499.0</v>
      </c>
      <c r="I273" s="1">
        <v>0.18</v>
      </c>
      <c r="J273" s="1">
        <v>409.18</v>
      </c>
      <c r="K273" s="1" t="s">
        <v>51</v>
      </c>
      <c r="L273" s="1">
        <v>5.0</v>
      </c>
      <c r="M273" s="1">
        <v>45.0</v>
      </c>
      <c r="N273" s="1" t="s">
        <v>21</v>
      </c>
    </row>
    <row r="274">
      <c r="A274" s="1" t="s">
        <v>507</v>
      </c>
      <c r="B274" s="1" t="s">
        <v>508</v>
      </c>
      <c r="C274" s="3">
        <v>45931.0</v>
      </c>
      <c r="D274" s="1" t="s">
        <v>30</v>
      </c>
      <c r="E274" s="1" t="s">
        <v>31</v>
      </c>
      <c r="F274" s="1" t="s">
        <v>26</v>
      </c>
      <c r="G274" s="1">
        <v>1.0</v>
      </c>
      <c r="H274" s="1">
        <v>199.0</v>
      </c>
      <c r="I274" s="1">
        <v>0.21</v>
      </c>
      <c r="J274" s="1">
        <v>157.21</v>
      </c>
      <c r="K274" s="1" t="s">
        <v>51</v>
      </c>
      <c r="L274" s="1">
        <v>3.7</v>
      </c>
      <c r="M274" s="1">
        <v>39.0</v>
      </c>
      <c r="N274" s="1" t="s">
        <v>21</v>
      </c>
    </row>
    <row r="275">
      <c r="A275" s="1" t="s">
        <v>509</v>
      </c>
      <c r="B275" s="1" t="s">
        <v>510</v>
      </c>
      <c r="C275" s="3">
        <v>45851.0</v>
      </c>
      <c r="D275" s="1" t="s">
        <v>17</v>
      </c>
      <c r="E275" s="1" t="s">
        <v>75</v>
      </c>
      <c r="F275" s="1" t="s">
        <v>32</v>
      </c>
      <c r="G275" s="1">
        <v>2.0</v>
      </c>
      <c r="H275" s="1">
        <v>1499.0</v>
      </c>
      <c r="I275" s="1">
        <v>0.12</v>
      </c>
      <c r="J275" s="1">
        <v>2638.24</v>
      </c>
      <c r="K275" s="1" t="s">
        <v>51</v>
      </c>
      <c r="L275" s="1">
        <v>4.5</v>
      </c>
      <c r="M275" s="1">
        <v>37.0</v>
      </c>
      <c r="N275" s="1" t="s">
        <v>21</v>
      </c>
    </row>
    <row r="276">
      <c r="A276" s="1" t="s">
        <v>511</v>
      </c>
      <c r="B276" s="1" t="s">
        <v>512</v>
      </c>
      <c r="C276" s="3">
        <v>45868.0</v>
      </c>
      <c r="D276" s="1" t="s">
        <v>24</v>
      </c>
      <c r="E276" s="1" t="s">
        <v>25</v>
      </c>
      <c r="F276" s="1" t="s">
        <v>65</v>
      </c>
      <c r="G276" s="1">
        <v>1.0</v>
      </c>
      <c r="H276" s="1">
        <v>699.0</v>
      </c>
      <c r="I276" s="1">
        <v>0.19</v>
      </c>
      <c r="J276" s="1">
        <v>566.19</v>
      </c>
      <c r="K276" s="1" t="s">
        <v>27</v>
      </c>
      <c r="L276" s="1">
        <v>3.4</v>
      </c>
      <c r="M276" s="1">
        <v>41.0</v>
      </c>
      <c r="N276" s="1" t="s">
        <v>21</v>
      </c>
    </row>
    <row r="277">
      <c r="A277" s="1" t="s">
        <v>513</v>
      </c>
      <c r="B277" s="1" t="s">
        <v>514</v>
      </c>
      <c r="C277" s="3">
        <v>45906.0</v>
      </c>
      <c r="D277" s="1" t="s">
        <v>41</v>
      </c>
      <c r="E277" s="1" t="s">
        <v>42</v>
      </c>
      <c r="F277" s="1" t="s">
        <v>32</v>
      </c>
      <c r="G277" s="1">
        <v>2.0</v>
      </c>
      <c r="H277" s="1">
        <v>699.0</v>
      </c>
      <c r="I277" s="1">
        <v>0.12</v>
      </c>
      <c r="J277" s="1">
        <v>1230.24</v>
      </c>
      <c r="K277" s="1" t="s">
        <v>33</v>
      </c>
      <c r="L277" s="1">
        <v>4.2</v>
      </c>
      <c r="M277" s="1">
        <v>47.0</v>
      </c>
      <c r="N277" s="1" t="s">
        <v>21</v>
      </c>
    </row>
    <row r="278">
      <c r="A278" s="1" t="s">
        <v>515</v>
      </c>
      <c r="B278" s="1" t="s">
        <v>516</v>
      </c>
      <c r="C278" s="3">
        <v>45935.0</v>
      </c>
      <c r="D278" s="1" t="s">
        <v>24</v>
      </c>
      <c r="E278" s="1" t="s">
        <v>140</v>
      </c>
      <c r="F278" s="1" t="s">
        <v>26</v>
      </c>
      <c r="G278" s="1">
        <v>2.0</v>
      </c>
      <c r="H278" s="1">
        <v>299.0</v>
      </c>
      <c r="I278" s="1">
        <v>0.2</v>
      </c>
      <c r="J278" s="1">
        <v>478.4</v>
      </c>
      <c r="K278" s="1" t="s">
        <v>27</v>
      </c>
      <c r="L278" s="1">
        <v>4.7</v>
      </c>
      <c r="M278" s="1">
        <v>25.0</v>
      </c>
      <c r="N278" s="1" t="s">
        <v>21</v>
      </c>
    </row>
    <row r="279">
      <c r="A279" s="1" t="s">
        <v>517</v>
      </c>
      <c r="B279" s="1" t="s">
        <v>132</v>
      </c>
      <c r="C279" s="3">
        <v>45846.0</v>
      </c>
      <c r="D279" s="1" t="s">
        <v>30</v>
      </c>
      <c r="E279" s="1" t="s">
        <v>86</v>
      </c>
      <c r="F279" s="1" t="s">
        <v>19</v>
      </c>
      <c r="G279" s="1">
        <v>2.0</v>
      </c>
      <c r="H279" s="1">
        <v>249.0</v>
      </c>
      <c r="I279" s="1">
        <v>0.0</v>
      </c>
      <c r="J279" s="1">
        <v>498.0</v>
      </c>
      <c r="K279" s="1" t="s">
        <v>27</v>
      </c>
      <c r="M279" s="1">
        <v>41.0</v>
      </c>
      <c r="N279" s="1" t="s">
        <v>21</v>
      </c>
    </row>
    <row r="280">
      <c r="A280" s="1" t="s">
        <v>518</v>
      </c>
      <c r="B280" s="1" t="s">
        <v>519</v>
      </c>
      <c r="C280" s="3">
        <v>45915.0</v>
      </c>
      <c r="D280" s="1" t="s">
        <v>24</v>
      </c>
      <c r="E280" s="1" t="s">
        <v>48</v>
      </c>
      <c r="F280" s="1" t="s">
        <v>57</v>
      </c>
      <c r="G280" s="1">
        <v>4.0</v>
      </c>
      <c r="H280" s="1">
        <v>1499.0</v>
      </c>
      <c r="I280" s="1">
        <v>0.16</v>
      </c>
      <c r="J280" s="1">
        <v>5036.64</v>
      </c>
      <c r="K280" s="1" t="s">
        <v>51</v>
      </c>
      <c r="L280" s="1">
        <v>4.2</v>
      </c>
      <c r="M280" s="1">
        <v>40.0</v>
      </c>
      <c r="N280" s="1" t="s">
        <v>21</v>
      </c>
    </row>
    <row r="281">
      <c r="A281" s="1" t="s">
        <v>520</v>
      </c>
      <c r="B281" s="1" t="s">
        <v>449</v>
      </c>
      <c r="C281" s="3">
        <v>45844.0</v>
      </c>
      <c r="D281" s="1" t="s">
        <v>24</v>
      </c>
      <c r="E281" s="1" t="s">
        <v>25</v>
      </c>
      <c r="F281" s="1" t="s">
        <v>19</v>
      </c>
      <c r="G281" s="1">
        <v>6.0</v>
      </c>
      <c r="H281" s="1">
        <v>99.0</v>
      </c>
      <c r="I281" s="1">
        <v>0.08</v>
      </c>
      <c r="J281" s="1">
        <v>546.48</v>
      </c>
      <c r="K281" s="1" t="s">
        <v>51</v>
      </c>
      <c r="L281" s="1">
        <v>3.0</v>
      </c>
      <c r="M281" s="1">
        <v>52.0</v>
      </c>
      <c r="N281" s="1" t="s">
        <v>38</v>
      </c>
    </row>
    <row r="282">
      <c r="A282" s="1" t="s">
        <v>521</v>
      </c>
      <c r="B282" s="1" t="s">
        <v>522</v>
      </c>
      <c r="C282" s="3">
        <v>46005.0</v>
      </c>
      <c r="D282" s="1" t="s">
        <v>17</v>
      </c>
      <c r="E282" s="1" t="s">
        <v>64</v>
      </c>
      <c r="F282" s="1" t="s">
        <v>26</v>
      </c>
      <c r="G282" s="1">
        <v>1.0</v>
      </c>
      <c r="H282" s="1">
        <v>299.0</v>
      </c>
      <c r="I282" s="1">
        <v>0.0</v>
      </c>
      <c r="J282" s="1">
        <v>299.0</v>
      </c>
      <c r="K282" s="1" t="s">
        <v>27</v>
      </c>
      <c r="L282" s="1">
        <v>4.4</v>
      </c>
      <c r="M282" s="1">
        <v>35.0</v>
      </c>
      <c r="N282" s="1" t="s">
        <v>21</v>
      </c>
    </row>
    <row r="283">
      <c r="A283" s="1" t="s">
        <v>523</v>
      </c>
      <c r="B283" s="1" t="s">
        <v>172</v>
      </c>
      <c r="C283" s="3">
        <v>45974.0</v>
      </c>
      <c r="D283" s="1" t="s">
        <v>24</v>
      </c>
      <c r="E283" s="1" t="s">
        <v>140</v>
      </c>
      <c r="F283" s="1" t="s">
        <v>65</v>
      </c>
      <c r="G283" s="1">
        <v>5.0</v>
      </c>
      <c r="H283" s="1">
        <v>499.0</v>
      </c>
      <c r="I283" s="1">
        <v>0.15</v>
      </c>
      <c r="J283" s="1">
        <v>2120.75</v>
      </c>
      <c r="K283" s="1" t="s">
        <v>27</v>
      </c>
      <c r="L283" s="1">
        <v>4.1</v>
      </c>
      <c r="M283" s="1">
        <v>31.0</v>
      </c>
      <c r="N283" s="1" t="s">
        <v>21</v>
      </c>
    </row>
    <row r="284">
      <c r="A284" s="1" t="s">
        <v>524</v>
      </c>
      <c r="B284" s="1" t="s">
        <v>525</v>
      </c>
      <c r="C284" s="3">
        <v>45900.0</v>
      </c>
      <c r="D284" s="1" t="s">
        <v>41</v>
      </c>
      <c r="E284" s="1" t="s">
        <v>94</v>
      </c>
      <c r="F284" s="1" t="s">
        <v>26</v>
      </c>
      <c r="G284" s="1">
        <v>2.0</v>
      </c>
      <c r="H284" s="1">
        <v>199.0</v>
      </c>
      <c r="I284" s="1">
        <v>0.22</v>
      </c>
      <c r="J284" s="1">
        <v>310.44</v>
      </c>
      <c r="K284" s="1" t="s">
        <v>51</v>
      </c>
      <c r="L284" s="1">
        <v>3.3</v>
      </c>
      <c r="M284" s="1">
        <v>36.0</v>
      </c>
      <c r="N284" s="1" t="s">
        <v>38</v>
      </c>
    </row>
    <row r="285">
      <c r="A285" s="1" t="s">
        <v>526</v>
      </c>
      <c r="B285" s="1" t="s">
        <v>218</v>
      </c>
      <c r="C285" s="3">
        <v>45883.0</v>
      </c>
      <c r="D285" s="1" t="s">
        <v>17</v>
      </c>
      <c r="E285" s="1" t="s">
        <v>64</v>
      </c>
      <c r="F285" s="1" t="s">
        <v>37</v>
      </c>
      <c r="G285" s="1">
        <v>1.0</v>
      </c>
      <c r="H285" s="1">
        <v>699.0</v>
      </c>
      <c r="I285" s="1">
        <v>0.0</v>
      </c>
      <c r="J285" s="1">
        <v>699.0</v>
      </c>
      <c r="K285" s="1" t="s">
        <v>20</v>
      </c>
      <c r="L285" s="1">
        <v>4.5</v>
      </c>
      <c r="M285" s="1">
        <v>38.0</v>
      </c>
      <c r="N285" s="1" t="s">
        <v>21</v>
      </c>
    </row>
    <row r="286">
      <c r="A286" s="1" t="s">
        <v>262</v>
      </c>
      <c r="B286" s="1" t="s">
        <v>263</v>
      </c>
      <c r="C286" s="3">
        <v>45942.0</v>
      </c>
      <c r="D286" s="1" t="s">
        <v>24</v>
      </c>
      <c r="E286" s="1" t="s">
        <v>48</v>
      </c>
      <c r="F286" s="1" t="s">
        <v>26</v>
      </c>
      <c r="G286" s="1">
        <v>1.0</v>
      </c>
      <c r="H286" s="1">
        <v>499.0</v>
      </c>
      <c r="I286" s="1">
        <v>0.05</v>
      </c>
      <c r="J286" s="1">
        <v>474.05</v>
      </c>
      <c r="K286" s="1" t="s">
        <v>20</v>
      </c>
      <c r="L286" s="1">
        <v>4.3</v>
      </c>
      <c r="M286" s="1">
        <v>36.0</v>
      </c>
      <c r="N286" s="1" t="s">
        <v>21</v>
      </c>
    </row>
    <row r="287">
      <c r="A287" s="1" t="s">
        <v>527</v>
      </c>
      <c r="B287" s="1" t="s">
        <v>276</v>
      </c>
      <c r="C287" s="3">
        <v>45895.0</v>
      </c>
      <c r="D287" s="1" t="s">
        <v>24</v>
      </c>
      <c r="E287" s="1" t="s">
        <v>117</v>
      </c>
      <c r="F287" s="1" t="s">
        <v>65</v>
      </c>
      <c r="G287" s="1">
        <v>3.0</v>
      </c>
      <c r="H287" s="1">
        <v>199.0</v>
      </c>
      <c r="I287" s="1">
        <v>0.03</v>
      </c>
      <c r="J287" s="1">
        <v>579.09</v>
      </c>
      <c r="K287" s="1" t="s">
        <v>33</v>
      </c>
      <c r="L287" s="1">
        <v>3.9</v>
      </c>
      <c r="M287" s="1">
        <v>47.0</v>
      </c>
      <c r="N287" s="1" t="s">
        <v>21</v>
      </c>
    </row>
    <row r="288">
      <c r="A288" s="1" t="s">
        <v>528</v>
      </c>
      <c r="B288" s="1" t="s">
        <v>516</v>
      </c>
      <c r="C288" s="3">
        <v>45844.0</v>
      </c>
      <c r="D288" s="1" t="s">
        <v>30</v>
      </c>
      <c r="E288" s="1" t="s">
        <v>86</v>
      </c>
      <c r="F288" s="1" t="s">
        <v>65</v>
      </c>
      <c r="G288" s="1">
        <v>1.0</v>
      </c>
      <c r="H288" s="1">
        <v>99.0</v>
      </c>
      <c r="I288" s="1">
        <v>0.05</v>
      </c>
      <c r="J288" s="1">
        <v>94.05</v>
      </c>
      <c r="K288" s="1" t="s">
        <v>33</v>
      </c>
      <c r="L288" s="1">
        <v>3.9</v>
      </c>
      <c r="M288" s="1">
        <v>57.0</v>
      </c>
      <c r="N288" s="1" t="s">
        <v>21</v>
      </c>
    </row>
    <row r="289">
      <c r="A289" s="1" t="s">
        <v>529</v>
      </c>
      <c r="B289" s="1" t="s">
        <v>323</v>
      </c>
      <c r="C289" s="3">
        <v>45949.0</v>
      </c>
      <c r="D289" s="1" t="s">
        <v>17</v>
      </c>
      <c r="F289" s="1" t="s">
        <v>37</v>
      </c>
      <c r="G289" s="1">
        <v>1.0</v>
      </c>
      <c r="H289" s="1">
        <v>149.0</v>
      </c>
      <c r="I289" s="1">
        <v>0.11</v>
      </c>
      <c r="J289" s="1">
        <v>132.61</v>
      </c>
      <c r="K289" s="1" t="s">
        <v>20</v>
      </c>
      <c r="L289" s="1">
        <v>3.8</v>
      </c>
      <c r="M289" s="1">
        <v>30.0</v>
      </c>
      <c r="N289" s="1" t="s">
        <v>21</v>
      </c>
    </row>
    <row r="290">
      <c r="A290" s="1" t="s">
        <v>530</v>
      </c>
      <c r="B290" s="1" t="s">
        <v>500</v>
      </c>
      <c r="C290" s="3">
        <v>45989.0</v>
      </c>
      <c r="D290" s="1" t="s">
        <v>30</v>
      </c>
      <c r="E290" s="1" t="s">
        <v>70</v>
      </c>
      <c r="F290" s="1" t="s">
        <v>57</v>
      </c>
      <c r="G290" s="1">
        <v>2.0</v>
      </c>
      <c r="H290" s="1">
        <v>999.0</v>
      </c>
      <c r="I290" s="1">
        <v>0.13</v>
      </c>
      <c r="J290" s="1">
        <v>1738.26</v>
      </c>
      <c r="K290" s="1" t="s">
        <v>20</v>
      </c>
      <c r="L290" s="1">
        <v>4.7</v>
      </c>
      <c r="M290" s="1">
        <v>34.0</v>
      </c>
      <c r="N290" s="1" t="s">
        <v>21</v>
      </c>
    </row>
    <row r="291">
      <c r="A291" s="1" t="s">
        <v>531</v>
      </c>
      <c r="B291" s="1" t="s">
        <v>247</v>
      </c>
      <c r="C291" s="3">
        <v>46021.0</v>
      </c>
      <c r="D291" s="1" t="s">
        <v>30</v>
      </c>
      <c r="E291" s="1" t="s">
        <v>36</v>
      </c>
      <c r="F291" s="1" t="s">
        <v>32</v>
      </c>
      <c r="G291" s="1">
        <v>2.0</v>
      </c>
      <c r="H291" s="1">
        <v>999.0</v>
      </c>
      <c r="I291" s="1">
        <v>0.1</v>
      </c>
      <c r="J291" s="1">
        <v>1798.2</v>
      </c>
      <c r="K291" s="1" t="s">
        <v>33</v>
      </c>
      <c r="L291" s="1">
        <v>3.0</v>
      </c>
      <c r="M291" s="1">
        <v>42.0</v>
      </c>
      <c r="N291" s="1" t="s">
        <v>21</v>
      </c>
    </row>
    <row r="292">
      <c r="A292" s="1" t="s">
        <v>532</v>
      </c>
      <c r="B292" s="1" t="s">
        <v>61</v>
      </c>
      <c r="C292" s="3">
        <v>45877.0</v>
      </c>
      <c r="D292" s="1" t="s">
        <v>24</v>
      </c>
      <c r="E292" s="1" t="s">
        <v>117</v>
      </c>
      <c r="F292" s="1" t="s">
        <v>19</v>
      </c>
      <c r="G292" s="1">
        <v>1.0</v>
      </c>
      <c r="H292" s="1">
        <v>999.0</v>
      </c>
      <c r="I292" s="1">
        <v>0.08</v>
      </c>
      <c r="J292" s="1">
        <v>919.08</v>
      </c>
      <c r="K292" s="1" t="s">
        <v>27</v>
      </c>
      <c r="L292" s="1">
        <v>4.6</v>
      </c>
      <c r="M292" s="1">
        <v>51.0</v>
      </c>
      <c r="N292" s="1" t="s">
        <v>21</v>
      </c>
    </row>
    <row r="293">
      <c r="A293" s="1" t="s">
        <v>533</v>
      </c>
      <c r="B293" s="1" t="s">
        <v>534</v>
      </c>
      <c r="C293" s="3">
        <v>45924.0</v>
      </c>
      <c r="D293" s="1" t="s">
        <v>41</v>
      </c>
      <c r="E293" s="1" t="s">
        <v>42</v>
      </c>
      <c r="F293" s="1" t="s">
        <v>57</v>
      </c>
      <c r="G293" s="1">
        <v>1.0</v>
      </c>
      <c r="H293" s="1">
        <v>49.0</v>
      </c>
      <c r="I293" s="1">
        <v>0.03</v>
      </c>
      <c r="J293" s="1">
        <v>47.53</v>
      </c>
      <c r="K293" s="1" t="s">
        <v>20</v>
      </c>
      <c r="L293" s="1">
        <v>3.9</v>
      </c>
      <c r="M293" s="1">
        <v>27.0</v>
      </c>
      <c r="N293" s="1" t="s">
        <v>21</v>
      </c>
    </row>
    <row r="294">
      <c r="A294" s="1" t="s">
        <v>535</v>
      </c>
      <c r="B294" s="1" t="s">
        <v>267</v>
      </c>
      <c r="C294" s="3">
        <v>45932.0</v>
      </c>
      <c r="D294" s="1" t="s">
        <v>30</v>
      </c>
      <c r="E294" s="1" t="s">
        <v>86</v>
      </c>
      <c r="F294" s="1" t="s">
        <v>32</v>
      </c>
      <c r="G294" s="1">
        <v>1.0</v>
      </c>
      <c r="H294" s="1">
        <v>49.0</v>
      </c>
      <c r="I294" s="1">
        <v>0.14</v>
      </c>
      <c r="J294" s="1">
        <v>42.14</v>
      </c>
      <c r="K294" s="1" t="s">
        <v>51</v>
      </c>
      <c r="L294" s="1">
        <v>4.2</v>
      </c>
      <c r="M294" s="1">
        <v>41.0</v>
      </c>
      <c r="N294" s="1" t="s">
        <v>21</v>
      </c>
    </row>
    <row r="295">
      <c r="A295" s="1" t="s">
        <v>536</v>
      </c>
      <c r="B295" s="1" t="s">
        <v>537</v>
      </c>
      <c r="C295" s="3">
        <v>45906.0</v>
      </c>
      <c r="D295" s="1" t="s">
        <v>24</v>
      </c>
      <c r="E295" s="1" t="s">
        <v>25</v>
      </c>
      <c r="F295" s="1" t="s">
        <v>65</v>
      </c>
      <c r="G295" s="1">
        <v>1.0</v>
      </c>
      <c r="H295" s="1">
        <v>149.0</v>
      </c>
      <c r="I295" s="1">
        <v>0.15</v>
      </c>
      <c r="J295" s="1">
        <v>126.65</v>
      </c>
      <c r="K295" s="1" t="s">
        <v>27</v>
      </c>
      <c r="L295" s="1">
        <v>4.5</v>
      </c>
      <c r="M295" s="1">
        <v>27.0</v>
      </c>
      <c r="N295" s="1" t="s">
        <v>21</v>
      </c>
    </row>
    <row r="296">
      <c r="A296" s="1" t="s">
        <v>538</v>
      </c>
      <c r="B296" s="1" t="s">
        <v>539</v>
      </c>
      <c r="C296" s="3">
        <v>45864.0</v>
      </c>
      <c r="D296" s="1" t="s">
        <v>30</v>
      </c>
      <c r="E296" s="1" t="s">
        <v>31</v>
      </c>
      <c r="F296" s="1" t="s">
        <v>65</v>
      </c>
      <c r="G296" s="1">
        <v>2.0</v>
      </c>
      <c r="H296" s="1">
        <v>999.0</v>
      </c>
      <c r="I296" s="1">
        <v>0.27</v>
      </c>
      <c r="J296" s="1">
        <v>1458.54</v>
      </c>
      <c r="K296" s="1" t="s">
        <v>20</v>
      </c>
      <c r="L296" s="1">
        <v>2.8</v>
      </c>
      <c r="M296" s="1">
        <v>44.0</v>
      </c>
      <c r="N296" s="1" t="s">
        <v>21</v>
      </c>
    </row>
    <row r="297">
      <c r="A297" s="1" t="s">
        <v>540</v>
      </c>
      <c r="B297" s="1" t="s">
        <v>541</v>
      </c>
      <c r="C297" s="3">
        <v>46000.0</v>
      </c>
      <c r="D297" s="1" t="s">
        <v>17</v>
      </c>
      <c r="E297" s="1" t="s">
        <v>64</v>
      </c>
      <c r="F297" s="1" t="s">
        <v>57</v>
      </c>
      <c r="G297" s="1">
        <v>3.0</v>
      </c>
      <c r="H297" s="1">
        <v>99.0</v>
      </c>
      <c r="I297" s="1">
        <v>0.13</v>
      </c>
      <c r="J297" s="1">
        <v>258.39</v>
      </c>
      <c r="K297" s="1" t="s">
        <v>20</v>
      </c>
      <c r="L297" s="1">
        <v>4.4</v>
      </c>
      <c r="M297" s="1">
        <v>41.0</v>
      </c>
      <c r="N297" s="1" t="s">
        <v>21</v>
      </c>
    </row>
    <row r="298">
      <c r="A298" s="1" t="s">
        <v>542</v>
      </c>
      <c r="B298" s="1" t="s">
        <v>145</v>
      </c>
      <c r="C298" s="3">
        <v>45966.0</v>
      </c>
      <c r="D298" s="1" t="s">
        <v>41</v>
      </c>
      <c r="E298" s="1" t="s">
        <v>45</v>
      </c>
      <c r="F298" s="1" t="s">
        <v>32</v>
      </c>
      <c r="G298" s="1">
        <v>1.0</v>
      </c>
      <c r="H298" s="1">
        <v>1499.0</v>
      </c>
      <c r="I298" s="1">
        <v>0.25</v>
      </c>
      <c r="J298" s="1">
        <v>1124.25</v>
      </c>
      <c r="K298" s="1" t="s">
        <v>33</v>
      </c>
      <c r="L298" s="1">
        <v>3.4</v>
      </c>
      <c r="M298" s="1">
        <v>25.0</v>
      </c>
      <c r="N298" s="1" t="s">
        <v>21</v>
      </c>
    </row>
    <row r="299">
      <c r="A299" s="1" t="s">
        <v>543</v>
      </c>
      <c r="B299" s="1" t="s">
        <v>544</v>
      </c>
      <c r="C299" s="3">
        <v>45936.0</v>
      </c>
      <c r="D299" s="1" t="s">
        <v>24</v>
      </c>
      <c r="E299" s="1" t="s">
        <v>25</v>
      </c>
      <c r="F299" s="1" t="s">
        <v>32</v>
      </c>
      <c r="G299" s="1">
        <v>4.0</v>
      </c>
      <c r="H299" s="1">
        <v>249.0</v>
      </c>
      <c r="I299" s="1">
        <v>0.06</v>
      </c>
      <c r="J299" s="1">
        <v>936.24</v>
      </c>
      <c r="K299" s="1" t="s">
        <v>20</v>
      </c>
      <c r="L299" s="1">
        <v>4.4</v>
      </c>
      <c r="M299" s="1">
        <v>47.0</v>
      </c>
      <c r="N299" s="1" t="s">
        <v>21</v>
      </c>
    </row>
    <row r="300">
      <c r="A300" s="1" t="s">
        <v>545</v>
      </c>
      <c r="B300" s="1" t="s">
        <v>546</v>
      </c>
      <c r="C300" s="3">
        <v>45994.0</v>
      </c>
      <c r="D300" s="1" t="s">
        <v>24</v>
      </c>
      <c r="E300" s="1" t="s">
        <v>117</v>
      </c>
      <c r="F300" s="1" t="s">
        <v>19</v>
      </c>
      <c r="G300" s="1">
        <v>4.0</v>
      </c>
      <c r="H300" s="1">
        <v>149.0</v>
      </c>
      <c r="I300" s="1">
        <v>0.18</v>
      </c>
      <c r="J300" s="1">
        <v>488.72</v>
      </c>
      <c r="K300" s="1" t="s">
        <v>27</v>
      </c>
      <c r="L300" s="1">
        <v>4.5</v>
      </c>
      <c r="M300" s="1">
        <v>31.0</v>
      </c>
      <c r="N300" s="1" t="s">
        <v>21</v>
      </c>
    </row>
    <row r="301">
      <c r="A301" s="1" t="s">
        <v>547</v>
      </c>
      <c r="B301" s="1" t="s">
        <v>548</v>
      </c>
      <c r="C301" s="3">
        <v>45924.0</v>
      </c>
      <c r="D301" s="1" t="s">
        <v>41</v>
      </c>
      <c r="E301" s="1" t="s">
        <v>94</v>
      </c>
      <c r="F301" s="1" t="s">
        <v>32</v>
      </c>
      <c r="G301" s="1">
        <v>2.0</v>
      </c>
      <c r="H301" s="1">
        <v>299.0</v>
      </c>
      <c r="I301" s="1">
        <v>0.12</v>
      </c>
      <c r="J301" s="1">
        <v>526.24</v>
      </c>
      <c r="K301" s="1" t="s">
        <v>33</v>
      </c>
      <c r="L301" s="1">
        <v>3.4</v>
      </c>
      <c r="M301" s="1">
        <v>57.0</v>
      </c>
      <c r="N301" s="1" t="s">
        <v>21</v>
      </c>
    </row>
    <row r="302">
      <c r="A302" s="1" t="s">
        <v>549</v>
      </c>
      <c r="B302" s="1" t="s">
        <v>500</v>
      </c>
      <c r="C302" s="3">
        <v>46011.0</v>
      </c>
      <c r="D302" s="1" t="s">
        <v>24</v>
      </c>
      <c r="E302" s="1" t="s">
        <v>48</v>
      </c>
      <c r="F302" s="1" t="s">
        <v>65</v>
      </c>
      <c r="G302" s="1">
        <v>2.0</v>
      </c>
      <c r="H302" s="1">
        <v>299.0</v>
      </c>
      <c r="I302" s="1">
        <v>0.08</v>
      </c>
      <c r="J302" s="1">
        <v>550.16</v>
      </c>
      <c r="K302" s="1" t="s">
        <v>51</v>
      </c>
      <c r="L302" s="1">
        <v>3.6</v>
      </c>
      <c r="M302" s="1">
        <v>48.0</v>
      </c>
      <c r="N302" s="1" t="s">
        <v>21</v>
      </c>
    </row>
    <row r="303">
      <c r="A303" s="1" t="s">
        <v>550</v>
      </c>
      <c r="B303" s="1" t="s">
        <v>551</v>
      </c>
      <c r="C303" s="3">
        <v>45994.0</v>
      </c>
      <c r="D303" s="1" t="s">
        <v>17</v>
      </c>
      <c r="E303" s="1" t="s">
        <v>64</v>
      </c>
      <c r="F303" s="1" t="s">
        <v>37</v>
      </c>
      <c r="G303" s="1">
        <v>6.0</v>
      </c>
      <c r="H303" s="1">
        <v>499.0</v>
      </c>
      <c r="I303" s="1">
        <v>0.22</v>
      </c>
      <c r="J303" s="1">
        <v>2335.32</v>
      </c>
      <c r="K303" s="1" t="s">
        <v>20</v>
      </c>
      <c r="L303" s="1">
        <v>3.3</v>
      </c>
      <c r="M303" s="1">
        <v>37.0</v>
      </c>
      <c r="N303" s="1" t="s">
        <v>38</v>
      </c>
    </row>
    <row r="304">
      <c r="A304" s="1" t="s">
        <v>552</v>
      </c>
      <c r="B304" s="1" t="s">
        <v>553</v>
      </c>
      <c r="C304" s="3">
        <v>45966.0</v>
      </c>
      <c r="D304" s="1" t="s">
        <v>17</v>
      </c>
      <c r="E304" s="1" t="s">
        <v>64</v>
      </c>
      <c r="F304" s="1" t="s">
        <v>26</v>
      </c>
      <c r="G304" s="1">
        <v>2.0</v>
      </c>
      <c r="H304" s="1">
        <v>1499.0</v>
      </c>
      <c r="I304" s="1">
        <v>0.15</v>
      </c>
      <c r="J304" s="1">
        <v>2548.3</v>
      </c>
      <c r="K304" s="1" t="s">
        <v>27</v>
      </c>
      <c r="L304" s="1">
        <v>3.9</v>
      </c>
      <c r="M304" s="1">
        <v>36.0</v>
      </c>
      <c r="N304" s="1" t="s">
        <v>21</v>
      </c>
    </row>
    <row r="305">
      <c r="A305" s="1" t="s">
        <v>554</v>
      </c>
      <c r="B305" s="1" t="s">
        <v>555</v>
      </c>
      <c r="C305" s="3">
        <v>46022.0</v>
      </c>
      <c r="D305" s="1" t="s">
        <v>30</v>
      </c>
      <c r="E305" s="1" t="s">
        <v>36</v>
      </c>
      <c r="F305" s="1" t="s">
        <v>19</v>
      </c>
      <c r="G305" s="1">
        <v>2.0</v>
      </c>
      <c r="H305" s="1">
        <v>99.0</v>
      </c>
      <c r="I305" s="1">
        <v>0.16</v>
      </c>
      <c r="J305" s="1">
        <v>166.32</v>
      </c>
      <c r="K305" s="1" t="s">
        <v>51</v>
      </c>
      <c r="L305" s="1">
        <v>4.1</v>
      </c>
      <c r="M305" s="1">
        <v>45.0</v>
      </c>
      <c r="N305" s="1" t="s">
        <v>21</v>
      </c>
    </row>
    <row r="306">
      <c r="A306" s="1" t="s">
        <v>556</v>
      </c>
      <c r="B306" s="1" t="s">
        <v>557</v>
      </c>
      <c r="C306" s="3">
        <v>45881.0</v>
      </c>
      <c r="D306" s="1" t="s">
        <v>30</v>
      </c>
      <c r="E306" s="1" t="s">
        <v>36</v>
      </c>
      <c r="F306" s="1" t="s">
        <v>37</v>
      </c>
      <c r="G306" s="1">
        <v>1.0</v>
      </c>
      <c r="H306" s="1">
        <v>1999.0</v>
      </c>
      <c r="I306" s="1">
        <v>0.21</v>
      </c>
      <c r="J306" s="1">
        <v>1579.21</v>
      </c>
      <c r="K306" s="1" t="s">
        <v>27</v>
      </c>
      <c r="L306" s="1">
        <v>2.7</v>
      </c>
      <c r="M306" s="1">
        <v>50.0</v>
      </c>
      <c r="N306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8.25"/>
    <col customWidth="1" min="3" max="3" width="17.13"/>
    <col customWidth="1" min="4" max="4" width="13.88"/>
    <col customWidth="1" min="5" max="5" width="14.88"/>
    <col customWidth="1" min="6" max="6" width="15.38"/>
    <col customWidth="1" min="7" max="7" width="14.88"/>
    <col customWidth="1" min="8" max="8" width="16.25"/>
    <col customWidth="1" min="9" max="9" width="15.38"/>
    <col customWidth="1" min="10" max="10" width="19.13"/>
    <col customWidth="1" min="11" max="11" width="21.75"/>
    <col customWidth="1" min="12" max="12" width="13.5"/>
    <col customWidth="1" min="13" max="13" width="22.63"/>
    <col customWidth="1" min="14" max="14" width="15.38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558</v>
      </c>
    </row>
    <row r="2" ht="22.5" customHeight="1">
      <c r="A2" s="6" t="s">
        <v>15</v>
      </c>
      <c r="B2" s="6" t="s">
        <v>16</v>
      </c>
      <c r="C2" s="7">
        <v>45931.0</v>
      </c>
      <c r="D2" s="6" t="s">
        <v>17</v>
      </c>
      <c r="E2" s="6" t="s">
        <v>18</v>
      </c>
      <c r="F2" s="6" t="s">
        <v>19</v>
      </c>
      <c r="G2" s="8">
        <v>2.0</v>
      </c>
      <c r="H2" s="8">
        <v>249.0</v>
      </c>
      <c r="I2" s="8">
        <v>0.23</v>
      </c>
      <c r="J2" s="8">
        <v>383.46</v>
      </c>
      <c r="K2" s="6" t="s">
        <v>20</v>
      </c>
      <c r="L2" s="8">
        <v>5.0</v>
      </c>
      <c r="M2" s="8">
        <v>26.0</v>
      </c>
      <c r="N2" s="6" t="s">
        <v>21</v>
      </c>
      <c r="O2" s="9"/>
    </row>
    <row r="3" ht="22.5" customHeight="1">
      <c r="A3" s="6" t="s">
        <v>22</v>
      </c>
      <c r="B3" s="6" t="s">
        <v>23</v>
      </c>
      <c r="C3" s="7">
        <v>45932.0</v>
      </c>
      <c r="D3" s="6" t="s">
        <v>24</v>
      </c>
      <c r="E3" s="6" t="s">
        <v>25</v>
      </c>
      <c r="F3" s="6" t="s">
        <v>26</v>
      </c>
      <c r="G3" s="8">
        <v>1.0</v>
      </c>
      <c r="H3" s="8">
        <v>149.0</v>
      </c>
      <c r="I3" s="8">
        <v>0.16</v>
      </c>
      <c r="J3" s="8">
        <v>125.16</v>
      </c>
      <c r="K3" s="6" t="s">
        <v>27</v>
      </c>
      <c r="L3" s="8">
        <v>2.5</v>
      </c>
      <c r="M3" s="8">
        <v>31.0</v>
      </c>
      <c r="N3" s="6" t="s">
        <v>21</v>
      </c>
      <c r="O3" s="9"/>
    </row>
    <row r="4" ht="22.5" customHeight="1">
      <c r="A4" s="6" t="s">
        <v>28</v>
      </c>
      <c r="B4" s="6" t="s">
        <v>29</v>
      </c>
      <c r="C4" s="7">
        <v>45933.0</v>
      </c>
      <c r="D4" s="6" t="s">
        <v>30</v>
      </c>
      <c r="E4" s="6" t="s">
        <v>31</v>
      </c>
      <c r="F4" s="6" t="s">
        <v>32</v>
      </c>
      <c r="G4" s="8">
        <v>4.0</v>
      </c>
      <c r="H4" s="8">
        <v>999.0</v>
      </c>
      <c r="I4" s="8">
        <v>0.26</v>
      </c>
      <c r="J4" s="8">
        <v>2957.04</v>
      </c>
      <c r="K4" s="6" t="s">
        <v>33</v>
      </c>
      <c r="L4" s="8">
        <v>3.9</v>
      </c>
      <c r="M4" s="8">
        <v>28.0</v>
      </c>
      <c r="N4" s="6" t="s">
        <v>21</v>
      </c>
      <c r="O4" s="9"/>
    </row>
    <row r="5" ht="22.5" customHeight="1">
      <c r="A5" s="6" t="s">
        <v>34</v>
      </c>
      <c r="B5" s="6" t="s">
        <v>35</v>
      </c>
      <c r="C5" s="7">
        <v>45934.0</v>
      </c>
      <c r="D5" s="6" t="s">
        <v>30</v>
      </c>
      <c r="E5" s="6" t="s">
        <v>36</v>
      </c>
      <c r="F5" s="6" t="s">
        <v>37</v>
      </c>
      <c r="G5" s="8">
        <v>4.0</v>
      </c>
      <c r="H5" s="8">
        <v>1999.0</v>
      </c>
      <c r="I5" s="8">
        <v>0.14</v>
      </c>
      <c r="J5" s="8">
        <v>6876.56</v>
      </c>
      <c r="K5" s="6" t="s">
        <v>27</v>
      </c>
      <c r="L5" s="8">
        <v>3.3</v>
      </c>
      <c r="M5" s="8">
        <v>39.0</v>
      </c>
      <c r="N5" s="6" t="s">
        <v>38</v>
      </c>
      <c r="O5" s="9"/>
    </row>
    <row r="6" ht="22.5" customHeight="1">
      <c r="A6" s="6" t="s">
        <v>39</v>
      </c>
      <c r="B6" s="6" t="s">
        <v>40</v>
      </c>
      <c r="C6" s="7">
        <v>45935.0</v>
      </c>
      <c r="D6" s="6" t="s">
        <v>41</v>
      </c>
      <c r="E6" s="6" t="s">
        <v>42</v>
      </c>
      <c r="F6" s="6" t="s">
        <v>32</v>
      </c>
      <c r="G6" s="8">
        <v>1.0</v>
      </c>
      <c r="H6" s="8">
        <v>149.0</v>
      </c>
      <c r="I6" s="8">
        <v>0.2</v>
      </c>
      <c r="J6" s="8">
        <v>119.2</v>
      </c>
      <c r="K6" s="6" t="s">
        <v>33</v>
      </c>
      <c r="L6" s="8">
        <v>3.5</v>
      </c>
      <c r="M6" s="8">
        <v>34.0</v>
      </c>
      <c r="N6" s="6" t="s">
        <v>21</v>
      </c>
      <c r="O6" s="9"/>
    </row>
    <row r="7" ht="22.5" customHeight="1">
      <c r="A7" s="6" t="s">
        <v>43</v>
      </c>
      <c r="B7" s="6" t="s">
        <v>44</v>
      </c>
      <c r="C7" s="7">
        <v>45936.0</v>
      </c>
      <c r="D7" s="6" t="s">
        <v>41</v>
      </c>
      <c r="E7" s="6" t="s">
        <v>45</v>
      </c>
      <c r="F7" s="6" t="s">
        <v>26</v>
      </c>
      <c r="G7" s="8">
        <v>1.0</v>
      </c>
      <c r="H7" s="8">
        <v>249.0</v>
      </c>
      <c r="I7" s="8">
        <v>0.05</v>
      </c>
      <c r="J7" s="8">
        <v>236.55</v>
      </c>
      <c r="K7" s="6" t="s">
        <v>27</v>
      </c>
      <c r="L7" s="8">
        <v>4.1</v>
      </c>
      <c r="M7" s="8">
        <v>41.0</v>
      </c>
      <c r="N7" s="6" t="s">
        <v>21</v>
      </c>
      <c r="O7" s="9"/>
    </row>
    <row r="8" ht="22.5" customHeight="1">
      <c r="A8" s="6" t="s">
        <v>46</v>
      </c>
      <c r="B8" s="6" t="s">
        <v>47</v>
      </c>
      <c r="C8" s="7">
        <v>45937.0</v>
      </c>
      <c r="D8" s="6" t="s">
        <v>24</v>
      </c>
      <c r="E8" s="6" t="s">
        <v>48</v>
      </c>
      <c r="F8" s="6" t="s">
        <v>26</v>
      </c>
      <c r="G8" s="8">
        <v>1.0</v>
      </c>
      <c r="H8" s="8">
        <v>999.0</v>
      </c>
      <c r="I8" s="8">
        <v>0.25</v>
      </c>
      <c r="J8" s="8">
        <v>749.25</v>
      </c>
      <c r="K8" s="6" t="s">
        <v>27</v>
      </c>
      <c r="L8" s="8">
        <v>4.7</v>
      </c>
      <c r="M8" s="8">
        <v>24.0</v>
      </c>
      <c r="N8" s="6" t="s">
        <v>38</v>
      </c>
      <c r="O8" s="9"/>
    </row>
    <row r="9" ht="22.5" customHeight="1">
      <c r="A9" s="6" t="s">
        <v>49</v>
      </c>
      <c r="B9" s="6" t="s">
        <v>50</v>
      </c>
      <c r="C9" s="7">
        <v>45938.0</v>
      </c>
      <c r="D9" s="6" t="s">
        <v>24</v>
      </c>
      <c r="E9" s="6" t="s">
        <v>48</v>
      </c>
      <c r="F9" s="6" t="s">
        <v>32</v>
      </c>
      <c r="G9" s="8">
        <v>1.0</v>
      </c>
      <c r="H9" s="8">
        <v>499.0</v>
      </c>
      <c r="I9" s="8">
        <v>0.07</v>
      </c>
      <c r="J9" s="8">
        <v>464.07</v>
      </c>
      <c r="K9" s="6" t="s">
        <v>51</v>
      </c>
      <c r="L9" s="8">
        <v>4.9</v>
      </c>
      <c r="M9" s="8">
        <v>42.0</v>
      </c>
      <c r="N9" s="6" t="s">
        <v>21</v>
      </c>
      <c r="O9" s="9"/>
    </row>
    <row r="10" ht="22.5" customHeight="1">
      <c r="A10" s="6" t="s">
        <v>52</v>
      </c>
      <c r="B10" s="6" t="s">
        <v>53</v>
      </c>
      <c r="C10" s="7">
        <v>45939.0</v>
      </c>
      <c r="D10" s="6" t="s">
        <v>41</v>
      </c>
      <c r="E10" s="6" t="s">
        <v>54</v>
      </c>
      <c r="F10" s="6" t="s">
        <v>26</v>
      </c>
      <c r="G10" s="8">
        <v>1.0</v>
      </c>
      <c r="H10" s="8">
        <v>49.0</v>
      </c>
      <c r="I10" s="8">
        <v>0.15</v>
      </c>
      <c r="J10" s="8">
        <v>41.65</v>
      </c>
      <c r="K10" s="6" t="s">
        <v>33</v>
      </c>
      <c r="L10" s="8">
        <v>4.4</v>
      </c>
      <c r="M10" s="8">
        <v>26.0</v>
      </c>
      <c r="N10" s="6" t="s">
        <v>21</v>
      </c>
      <c r="O10" s="9"/>
    </row>
    <row r="11" ht="22.5" customHeight="1">
      <c r="A11" s="6" t="s">
        <v>55</v>
      </c>
      <c r="B11" s="6" t="s">
        <v>56</v>
      </c>
      <c r="C11" s="7">
        <v>45940.0</v>
      </c>
      <c r="D11" s="6" t="s">
        <v>24</v>
      </c>
      <c r="E11" s="6" t="s">
        <v>48</v>
      </c>
      <c r="F11" s="6" t="s">
        <v>57</v>
      </c>
      <c r="G11" s="8">
        <v>2.0</v>
      </c>
      <c r="H11" s="8">
        <v>99.0</v>
      </c>
      <c r="I11" s="8">
        <v>0.17</v>
      </c>
      <c r="J11" s="8">
        <v>164.34</v>
      </c>
      <c r="K11" s="6" t="s">
        <v>51</v>
      </c>
      <c r="L11" s="8">
        <v>4.0</v>
      </c>
      <c r="M11" s="8">
        <v>44.0</v>
      </c>
      <c r="N11" s="6" t="s">
        <v>21</v>
      </c>
      <c r="O11" s="9"/>
    </row>
    <row r="12" ht="22.5" customHeight="1">
      <c r="A12" s="6" t="s">
        <v>58</v>
      </c>
      <c r="B12" s="6" t="s">
        <v>59</v>
      </c>
      <c r="C12" s="7">
        <v>45941.0</v>
      </c>
      <c r="D12" s="6" t="s">
        <v>17</v>
      </c>
      <c r="E12" s="6" t="s">
        <v>18</v>
      </c>
      <c r="F12" s="6" t="s">
        <v>32</v>
      </c>
      <c r="G12" s="8">
        <v>1.0</v>
      </c>
      <c r="H12" s="8">
        <v>99.0</v>
      </c>
      <c r="I12" s="8">
        <v>0.14</v>
      </c>
      <c r="J12" s="8">
        <v>85.14</v>
      </c>
      <c r="K12" s="6" t="s">
        <v>33</v>
      </c>
      <c r="L12" s="8">
        <v>4.5</v>
      </c>
      <c r="M12" s="8">
        <v>32.0</v>
      </c>
      <c r="N12" s="6" t="s">
        <v>21</v>
      </c>
      <c r="O12" s="9"/>
    </row>
    <row r="13" ht="22.5" customHeight="1">
      <c r="A13" s="6" t="s">
        <v>60</v>
      </c>
      <c r="B13" s="6" t="s">
        <v>61</v>
      </c>
      <c r="C13" s="7">
        <v>45942.0</v>
      </c>
      <c r="D13" s="6" t="s">
        <v>30</v>
      </c>
      <c r="E13" s="6" t="s">
        <v>31</v>
      </c>
      <c r="F13" s="6" t="s">
        <v>26</v>
      </c>
      <c r="G13" s="8">
        <v>1.0</v>
      </c>
      <c r="H13" s="8">
        <v>999.0</v>
      </c>
      <c r="I13" s="8">
        <v>0.14</v>
      </c>
      <c r="J13" s="8">
        <v>859.14</v>
      </c>
      <c r="K13" s="6" t="s">
        <v>27</v>
      </c>
      <c r="L13" s="8">
        <v>4.7</v>
      </c>
      <c r="M13" s="8">
        <v>42.0</v>
      </c>
      <c r="N13" s="6" t="s">
        <v>21</v>
      </c>
      <c r="O13" s="9"/>
    </row>
    <row r="14" ht="22.5" customHeight="1">
      <c r="A14" s="6" t="s">
        <v>62</v>
      </c>
      <c r="B14" s="6" t="s">
        <v>63</v>
      </c>
      <c r="C14" s="7">
        <v>45943.0</v>
      </c>
      <c r="D14" s="6" t="s">
        <v>17</v>
      </c>
      <c r="E14" s="6" t="s">
        <v>64</v>
      </c>
      <c r="F14" s="6" t="s">
        <v>65</v>
      </c>
      <c r="G14" s="8">
        <v>3.0</v>
      </c>
      <c r="H14" s="8">
        <v>49.0</v>
      </c>
      <c r="I14" s="8">
        <v>0.28</v>
      </c>
      <c r="J14" s="8">
        <v>105.84</v>
      </c>
      <c r="K14" s="6" t="s">
        <v>27</v>
      </c>
      <c r="L14" s="8">
        <v>3.2</v>
      </c>
      <c r="M14" s="8">
        <v>34.0</v>
      </c>
      <c r="N14" s="6" t="s">
        <v>21</v>
      </c>
      <c r="O14" s="9"/>
    </row>
    <row r="15" ht="22.5" customHeight="1">
      <c r="A15" s="6" t="s">
        <v>66</v>
      </c>
      <c r="B15" s="6" t="s">
        <v>67</v>
      </c>
      <c r="C15" s="7">
        <v>45944.0</v>
      </c>
      <c r="D15" s="6" t="s">
        <v>24</v>
      </c>
      <c r="E15" s="6" t="s">
        <v>25</v>
      </c>
      <c r="F15" s="6" t="s">
        <v>19</v>
      </c>
      <c r="G15" s="8">
        <v>3.0</v>
      </c>
      <c r="H15" s="8">
        <v>1499.0</v>
      </c>
      <c r="I15" s="8">
        <v>0.0</v>
      </c>
      <c r="J15" s="8">
        <v>4497.0</v>
      </c>
      <c r="K15" s="6" t="s">
        <v>20</v>
      </c>
      <c r="L15" s="8">
        <v>4.4</v>
      </c>
      <c r="M15" s="8">
        <v>31.0</v>
      </c>
      <c r="N15" s="6" t="s">
        <v>21</v>
      </c>
      <c r="O15" s="9"/>
    </row>
    <row r="16" ht="22.5" customHeight="1">
      <c r="A16" s="6" t="s">
        <v>68</v>
      </c>
      <c r="B16" s="6" t="s">
        <v>69</v>
      </c>
      <c r="C16" s="7">
        <v>45945.0</v>
      </c>
      <c r="D16" s="6" t="s">
        <v>30</v>
      </c>
      <c r="E16" s="6" t="s">
        <v>70</v>
      </c>
      <c r="F16" s="6" t="s">
        <v>57</v>
      </c>
      <c r="G16" s="8">
        <v>1.0</v>
      </c>
      <c r="H16" s="8">
        <v>99.0</v>
      </c>
      <c r="I16" s="8">
        <v>0.01</v>
      </c>
      <c r="J16" s="8">
        <v>98.01</v>
      </c>
      <c r="K16" s="6" t="s">
        <v>27</v>
      </c>
      <c r="L16" s="8">
        <v>4.7</v>
      </c>
      <c r="M16" s="8">
        <v>43.0</v>
      </c>
      <c r="N16" s="6" t="s">
        <v>21</v>
      </c>
      <c r="O16" s="9"/>
    </row>
    <row r="17" ht="22.5" customHeight="1">
      <c r="A17" s="6" t="s">
        <v>71</v>
      </c>
      <c r="B17" s="6" t="s">
        <v>72</v>
      </c>
      <c r="C17" s="7">
        <v>45946.0</v>
      </c>
      <c r="D17" s="6" t="s">
        <v>30</v>
      </c>
      <c r="E17" s="6" t="s">
        <v>31</v>
      </c>
      <c r="F17" s="6" t="s">
        <v>37</v>
      </c>
      <c r="G17" s="8">
        <v>4.0</v>
      </c>
      <c r="H17" s="8">
        <v>149.0</v>
      </c>
      <c r="I17" s="8">
        <v>0.0</v>
      </c>
      <c r="J17" s="8">
        <v>596.0</v>
      </c>
      <c r="K17" s="6" t="s">
        <v>27</v>
      </c>
      <c r="L17" s="8">
        <v>4.4</v>
      </c>
      <c r="M17" s="8">
        <v>46.0</v>
      </c>
      <c r="N17" s="6" t="s">
        <v>21</v>
      </c>
      <c r="O17" s="9"/>
    </row>
    <row r="18" ht="22.5" customHeight="1">
      <c r="A18" s="6" t="s">
        <v>73</v>
      </c>
      <c r="B18" s="6" t="s">
        <v>74</v>
      </c>
      <c r="C18" s="7">
        <v>45947.0</v>
      </c>
      <c r="D18" s="6" t="s">
        <v>17</v>
      </c>
      <c r="E18" s="6" t="s">
        <v>75</v>
      </c>
      <c r="F18" s="6" t="s">
        <v>19</v>
      </c>
      <c r="G18" s="8">
        <v>1.0</v>
      </c>
      <c r="H18" s="8">
        <v>99.0</v>
      </c>
      <c r="I18" s="8">
        <v>0.12</v>
      </c>
      <c r="J18" s="8">
        <v>87.12</v>
      </c>
      <c r="K18" s="6" t="s">
        <v>27</v>
      </c>
      <c r="L18" s="8">
        <v>4.0</v>
      </c>
      <c r="M18" s="8">
        <v>31.0</v>
      </c>
      <c r="N18" s="6" t="s">
        <v>21</v>
      </c>
      <c r="O18" s="9"/>
    </row>
    <row r="19" ht="22.5" customHeight="1">
      <c r="A19" s="6" t="s">
        <v>76</v>
      </c>
      <c r="B19" s="6" t="s">
        <v>77</v>
      </c>
      <c r="C19" s="7">
        <v>45948.0</v>
      </c>
      <c r="D19" s="6" t="s">
        <v>30</v>
      </c>
      <c r="E19" s="6" t="s">
        <v>31</v>
      </c>
      <c r="F19" s="6" t="s">
        <v>19</v>
      </c>
      <c r="G19" s="8">
        <v>4.0</v>
      </c>
      <c r="H19" s="8">
        <v>99.0</v>
      </c>
      <c r="I19" s="8">
        <v>0.09</v>
      </c>
      <c r="J19" s="8">
        <v>360.36</v>
      </c>
      <c r="K19" s="10"/>
      <c r="L19" s="8">
        <v>3.6</v>
      </c>
      <c r="M19" s="8">
        <v>67.0</v>
      </c>
      <c r="N19" s="6" t="s">
        <v>21</v>
      </c>
      <c r="O19" s="9"/>
    </row>
    <row r="20" ht="22.5" customHeight="1">
      <c r="A20" s="6" t="s">
        <v>78</v>
      </c>
      <c r="B20" s="6" t="s">
        <v>79</v>
      </c>
      <c r="C20" s="7">
        <v>45949.0</v>
      </c>
      <c r="D20" s="6" t="s">
        <v>24</v>
      </c>
      <c r="E20" s="6" t="s">
        <v>48</v>
      </c>
      <c r="F20" s="6" t="s">
        <v>37</v>
      </c>
      <c r="G20" s="8">
        <v>1.0</v>
      </c>
      <c r="H20" s="8">
        <v>699.0</v>
      </c>
      <c r="I20" s="8">
        <v>0.18</v>
      </c>
      <c r="J20" s="8">
        <v>573.18</v>
      </c>
      <c r="K20" s="6" t="s">
        <v>33</v>
      </c>
      <c r="L20" s="8">
        <v>4.0</v>
      </c>
      <c r="M20" s="8">
        <v>44.0</v>
      </c>
      <c r="N20" s="6" t="s">
        <v>21</v>
      </c>
      <c r="O20" s="9"/>
    </row>
    <row r="21" ht="22.5" customHeight="1">
      <c r="A21" s="6" t="s">
        <v>80</v>
      </c>
      <c r="B21" s="6" t="s">
        <v>81</v>
      </c>
      <c r="C21" s="7">
        <v>45950.0</v>
      </c>
      <c r="D21" s="6" t="s">
        <v>17</v>
      </c>
      <c r="E21" s="6" t="s">
        <v>64</v>
      </c>
      <c r="F21" s="6" t="s">
        <v>65</v>
      </c>
      <c r="G21" s="8">
        <v>2.0</v>
      </c>
      <c r="H21" s="8">
        <v>99.0</v>
      </c>
      <c r="I21" s="8">
        <v>0.03</v>
      </c>
      <c r="J21" s="8">
        <v>192.06</v>
      </c>
      <c r="K21" s="6" t="s">
        <v>27</v>
      </c>
      <c r="L21" s="8">
        <v>4.8</v>
      </c>
      <c r="M21" s="8">
        <v>44.0</v>
      </c>
      <c r="N21" s="6" t="s">
        <v>21</v>
      </c>
      <c r="O21" s="9"/>
    </row>
    <row r="22" ht="22.5" customHeight="1">
      <c r="A22" s="6" t="s">
        <v>82</v>
      </c>
      <c r="B22" s="6" t="s">
        <v>83</v>
      </c>
      <c r="C22" s="7">
        <v>45951.0</v>
      </c>
      <c r="D22" s="6" t="s">
        <v>41</v>
      </c>
      <c r="E22" s="6" t="s">
        <v>54</v>
      </c>
      <c r="F22" s="6" t="s">
        <v>65</v>
      </c>
      <c r="G22" s="8">
        <v>1.0</v>
      </c>
      <c r="H22" s="8">
        <v>499.0</v>
      </c>
      <c r="I22" s="8">
        <v>0.0</v>
      </c>
      <c r="J22" s="8">
        <v>499.0</v>
      </c>
      <c r="K22" s="6" t="s">
        <v>20</v>
      </c>
      <c r="L22" s="8">
        <v>4.0</v>
      </c>
      <c r="M22" s="8">
        <v>46.0</v>
      </c>
      <c r="N22" s="6" t="s">
        <v>21</v>
      </c>
      <c r="O22" s="9"/>
    </row>
    <row r="23" ht="22.5" customHeight="1">
      <c r="A23" s="6" t="s">
        <v>84</v>
      </c>
      <c r="B23" s="6" t="s">
        <v>85</v>
      </c>
      <c r="C23" s="7">
        <v>45952.0</v>
      </c>
      <c r="D23" s="6" t="s">
        <v>30</v>
      </c>
      <c r="E23" s="6" t="s">
        <v>86</v>
      </c>
      <c r="F23" s="6" t="s">
        <v>37</v>
      </c>
      <c r="G23" s="8">
        <v>5.0</v>
      </c>
      <c r="H23" s="8">
        <v>49.0</v>
      </c>
      <c r="I23" s="8">
        <v>0.09</v>
      </c>
      <c r="J23" s="8">
        <v>222.95</v>
      </c>
      <c r="K23" s="6" t="s">
        <v>33</v>
      </c>
      <c r="L23" s="8">
        <v>3.7</v>
      </c>
      <c r="M23" s="8">
        <v>36.0</v>
      </c>
      <c r="N23" s="6" t="s">
        <v>38</v>
      </c>
      <c r="O23" s="9"/>
    </row>
    <row r="24" ht="22.5" customHeight="1">
      <c r="A24" s="6" t="s">
        <v>87</v>
      </c>
      <c r="B24" s="6" t="s">
        <v>88</v>
      </c>
      <c r="C24" s="7">
        <v>45953.0</v>
      </c>
      <c r="D24" s="6" t="s">
        <v>41</v>
      </c>
      <c r="E24" s="6" t="s">
        <v>54</v>
      </c>
      <c r="F24" s="6" t="s">
        <v>57</v>
      </c>
      <c r="G24" s="8">
        <v>1.0</v>
      </c>
      <c r="H24" s="8">
        <v>1999.0</v>
      </c>
      <c r="I24" s="8">
        <v>0.18</v>
      </c>
      <c r="J24" s="8">
        <v>1639.18</v>
      </c>
      <c r="K24" s="6" t="s">
        <v>33</v>
      </c>
      <c r="L24" s="8">
        <v>4.2</v>
      </c>
      <c r="M24" s="8">
        <v>44.0</v>
      </c>
      <c r="N24" s="6" t="s">
        <v>21</v>
      </c>
      <c r="O24" s="9"/>
    </row>
    <row r="25" ht="22.5" customHeight="1">
      <c r="A25" s="6" t="s">
        <v>89</v>
      </c>
      <c r="B25" s="6" t="s">
        <v>90</v>
      </c>
      <c r="C25" s="7">
        <v>45954.0</v>
      </c>
      <c r="D25" s="6" t="s">
        <v>41</v>
      </c>
      <c r="E25" s="6" t="s">
        <v>45</v>
      </c>
      <c r="F25" s="6" t="s">
        <v>37</v>
      </c>
      <c r="G25" s="8">
        <v>3.0</v>
      </c>
      <c r="H25" s="8">
        <v>999.0</v>
      </c>
      <c r="I25" s="8">
        <v>0.13</v>
      </c>
      <c r="J25" s="8">
        <v>2607.39</v>
      </c>
      <c r="K25" s="6" t="s">
        <v>33</v>
      </c>
      <c r="L25" s="8">
        <v>4.1</v>
      </c>
      <c r="M25" s="8">
        <v>43.0</v>
      </c>
      <c r="N25" s="6" t="s">
        <v>21</v>
      </c>
      <c r="O25" s="9"/>
    </row>
    <row r="26" ht="22.5" customHeight="1">
      <c r="A26" s="6" t="s">
        <v>91</v>
      </c>
      <c r="B26" s="6" t="s">
        <v>85</v>
      </c>
      <c r="C26" s="7">
        <v>45955.0</v>
      </c>
      <c r="D26" s="6" t="s">
        <v>30</v>
      </c>
      <c r="E26" s="6" t="s">
        <v>31</v>
      </c>
      <c r="F26" s="6" t="s">
        <v>32</v>
      </c>
      <c r="G26" s="8">
        <v>4.0</v>
      </c>
      <c r="H26" s="8">
        <v>499.0</v>
      </c>
      <c r="I26" s="8">
        <v>0.2</v>
      </c>
      <c r="J26" s="8">
        <v>1596.8</v>
      </c>
      <c r="K26" s="6" t="s">
        <v>33</v>
      </c>
      <c r="L26" s="8">
        <v>3.4</v>
      </c>
      <c r="M26" s="8">
        <v>33.0</v>
      </c>
      <c r="N26" s="6" t="s">
        <v>21</v>
      </c>
      <c r="O26" s="9"/>
    </row>
    <row r="27" ht="22.5" customHeight="1">
      <c r="A27" s="6" t="s">
        <v>92</v>
      </c>
      <c r="B27" s="6" t="s">
        <v>93</v>
      </c>
      <c r="C27" s="7">
        <v>45956.0</v>
      </c>
      <c r="D27" s="6" t="s">
        <v>41</v>
      </c>
      <c r="E27" s="6" t="s">
        <v>94</v>
      </c>
      <c r="F27" s="6" t="s">
        <v>37</v>
      </c>
      <c r="G27" s="8">
        <v>2.0</v>
      </c>
      <c r="H27" s="8">
        <v>1999.0</v>
      </c>
      <c r="I27" s="8">
        <v>0.23</v>
      </c>
      <c r="J27" s="8">
        <v>3078.46</v>
      </c>
      <c r="K27" s="6" t="s">
        <v>33</v>
      </c>
      <c r="L27" s="8">
        <v>5.0</v>
      </c>
      <c r="M27" s="8">
        <v>48.0</v>
      </c>
      <c r="N27" s="6" t="s">
        <v>21</v>
      </c>
      <c r="O27" s="9"/>
    </row>
    <row r="28" ht="22.5" customHeight="1">
      <c r="A28" s="6" t="s">
        <v>95</v>
      </c>
      <c r="B28" s="6" t="s">
        <v>69</v>
      </c>
      <c r="C28" s="7">
        <v>45957.0</v>
      </c>
      <c r="D28" s="6" t="s">
        <v>17</v>
      </c>
      <c r="E28" s="6" t="s">
        <v>75</v>
      </c>
      <c r="F28" s="6" t="s">
        <v>37</v>
      </c>
      <c r="G28" s="8">
        <v>4.0</v>
      </c>
      <c r="H28" s="8">
        <v>49.0</v>
      </c>
      <c r="I28" s="8">
        <v>0.08</v>
      </c>
      <c r="J28" s="8">
        <v>180.32</v>
      </c>
      <c r="K28" s="6" t="s">
        <v>27</v>
      </c>
      <c r="L28" s="8">
        <v>4.8</v>
      </c>
      <c r="M28" s="8">
        <v>40.0</v>
      </c>
      <c r="N28" s="6" t="s">
        <v>21</v>
      </c>
      <c r="O28" s="9"/>
    </row>
    <row r="29" ht="22.5" customHeight="1">
      <c r="A29" s="6" t="s">
        <v>96</v>
      </c>
      <c r="B29" s="6" t="s">
        <v>97</v>
      </c>
      <c r="C29" s="7">
        <v>45958.0</v>
      </c>
      <c r="D29" s="6" t="s">
        <v>24</v>
      </c>
      <c r="E29" s="6" t="s">
        <v>25</v>
      </c>
      <c r="F29" s="6" t="s">
        <v>37</v>
      </c>
      <c r="G29" s="8">
        <v>3.0</v>
      </c>
      <c r="H29" s="8">
        <v>199.0</v>
      </c>
      <c r="I29" s="8">
        <v>0.21</v>
      </c>
      <c r="J29" s="8">
        <v>471.63</v>
      </c>
      <c r="K29" s="6" t="s">
        <v>33</v>
      </c>
      <c r="L29" s="8">
        <v>5.0</v>
      </c>
      <c r="M29" s="8">
        <v>37.0</v>
      </c>
      <c r="N29" s="6" t="s">
        <v>21</v>
      </c>
      <c r="O29" s="9"/>
    </row>
    <row r="30" ht="22.5" customHeight="1">
      <c r="A30" s="6" t="s">
        <v>98</v>
      </c>
      <c r="B30" s="6" t="s">
        <v>99</v>
      </c>
      <c r="C30" s="7">
        <v>45959.0</v>
      </c>
      <c r="D30" s="6" t="s">
        <v>17</v>
      </c>
      <c r="E30" s="6" t="s">
        <v>18</v>
      </c>
      <c r="F30" s="6" t="s">
        <v>57</v>
      </c>
      <c r="G30" s="8">
        <v>2.0</v>
      </c>
      <c r="H30" s="8">
        <v>299.0</v>
      </c>
      <c r="I30" s="8">
        <v>0.01</v>
      </c>
      <c r="J30" s="8">
        <v>592.02</v>
      </c>
      <c r="K30" s="6" t="s">
        <v>20</v>
      </c>
      <c r="L30" s="8">
        <v>4.1</v>
      </c>
      <c r="M30" s="8">
        <v>41.0</v>
      </c>
      <c r="N30" s="6" t="s">
        <v>21</v>
      </c>
      <c r="O30" s="9"/>
    </row>
    <row r="31" ht="22.5" customHeight="1">
      <c r="A31" s="6" t="s">
        <v>100</v>
      </c>
      <c r="B31" s="6" t="s">
        <v>101</v>
      </c>
      <c r="C31" s="7">
        <v>45960.0</v>
      </c>
      <c r="D31" s="6" t="s">
        <v>41</v>
      </c>
      <c r="E31" s="6" t="s">
        <v>42</v>
      </c>
      <c r="F31" s="6" t="s">
        <v>65</v>
      </c>
      <c r="G31" s="8">
        <v>1.0</v>
      </c>
      <c r="H31" s="8">
        <v>499.0</v>
      </c>
      <c r="I31" s="8">
        <v>0.16</v>
      </c>
      <c r="J31" s="8">
        <v>419.16</v>
      </c>
      <c r="K31" s="6" t="s">
        <v>27</v>
      </c>
      <c r="L31" s="8">
        <v>5.0</v>
      </c>
      <c r="M31" s="8">
        <v>37.0</v>
      </c>
      <c r="N31" s="6" t="s">
        <v>21</v>
      </c>
      <c r="O31" s="9"/>
    </row>
    <row r="32" ht="22.5" customHeight="1">
      <c r="A32" s="6" t="s">
        <v>102</v>
      </c>
      <c r="B32" s="6" t="s">
        <v>103</v>
      </c>
      <c r="C32" s="7">
        <v>45961.0</v>
      </c>
      <c r="D32" s="6" t="s">
        <v>30</v>
      </c>
      <c r="E32" s="6" t="s">
        <v>31</v>
      </c>
      <c r="F32" s="6" t="s">
        <v>19</v>
      </c>
      <c r="G32" s="8">
        <v>1.0</v>
      </c>
      <c r="H32" s="8">
        <v>299.0</v>
      </c>
      <c r="I32" s="8">
        <v>0.13</v>
      </c>
      <c r="J32" s="8">
        <v>260.13</v>
      </c>
      <c r="K32" s="6" t="s">
        <v>33</v>
      </c>
      <c r="L32" s="8">
        <v>4.1</v>
      </c>
      <c r="M32" s="8">
        <v>50.0</v>
      </c>
      <c r="N32" s="6" t="s">
        <v>38</v>
      </c>
      <c r="O32" s="9"/>
    </row>
    <row r="33" ht="22.5" customHeight="1">
      <c r="A33" s="6" t="s">
        <v>104</v>
      </c>
      <c r="B33" s="6" t="s">
        <v>105</v>
      </c>
      <c r="C33" s="7">
        <v>45962.0</v>
      </c>
      <c r="D33" s="6" t="s">
        <v>30</v>
      </c>
      <c r="E33" s="6" t="s">
        <v>36</v>
      </c>
      <c r="F33" s="6" t="s">
        <v>37</v>
      </c>
      <c r="G33" s="8">
        <v>2.0</v>
      </c>
      <c r="H33" s="8">
        <v>299.0</v>
      </c>
      <c r="I33" s="8">
        <v>0.15</v>
      </c>
      <c r="J33" s="8">
        <v>508.3</v>
      </c>
      <c r="K33" s="6" t="s">
        <v>51</v>
      </c>
      <c r="L33" s="8">
        <v>4.6</v>
      </c>
      <c r="M33" s="8">
        <v>46.0</v>
      </c>
      <c r="N33" s="6" t="s">
        <v>21</v>
      </c>
      <c r="O33" s="9"/>
    </row>
    <row r="34" ht="22.5" customHeight="1">
      <c r="A34" s="6" t="s">
        <v>106</v>
      </c>
      <c r="B34" s="6" t="s">
        <v>107</v>
      </c>
      <c r="C34" s="7">
        <v>45963.0</v>
      </c>
      <c r="D34" s="6" t="s">
        <v>17</v>
      </c>
      <c r="E34" s="6" t="s">
        <v>75</v>
      </c>
      <c r="F34" s="6" t="s">
        <v>57</v>
      </c>
      <c r="G34" s="8">
        <v>1.0</v>
      </c>
      <c r="H34" s="8">
        <v>299.0</v>
      </c>
      <c r="I34" s="8">
        <v>0.02</v>
      </c>
      <c r="J34" s="8">
        <v>293.02</v>
      </c>
      <c r="K34" s="6" t="s">
        <v>33</v>
      </c>
      <c r="L34" s="8">
        <v>4.0</v>
      </c>
      <c r="M34" s="8">
        <v>36.0</v>
      </c>
      <c r="N34" s="6" t="s">
        <v>21</v>
      </c>
      <c r="O34" s="9"/>
    </row>
    <row r="35" ht="22.5" customHeight="1">
      <c r="A35" s="6" t="s">
        <v>108</v>
      </c>
      <c r="B35" s="6" t="s">
        <v>107</v>
      </c>
      <c r="C35" s="7">
        <v>45964.0</v>
      </c>
      <c r="D35" s="6" t="s">
        <v>17</v>
      </c>
      <c r="E35" s="6" t="s">
        <v>75</v>
      </c>
      <c r="F35" s="6" t="s">
        <v>65</v>
      </c>
      <c r="G35" s="8">
        <v>2.0</v>
      </c>
      <c r="H35" s="8">
        <v>1999.0</v>
      </c>
      <c r="I35" s="8">
        <v>0.12</v>
      </c>
      <c r="J35" s="8">
        <v>3518.24</v>
      </c>
      <c r="K35" s="6" t="s">
        <v>51</v>
      </c>
      <c r="L35" s="8">
        <v>4.0</v>
      </c>
      <c r="M35" s="8">
        <v>41.0</v>
      </c>
      <c r="N35" s="6" t="s">
        <v>21</v>
      </c>
      <c r="O35" s="9"/>
    </row>
    <row r="36" ht="22.5" customHeight="1">
      <c r="A36" s="6" t="s">
        <v>109</v>
      </c>
      <c r="B36" s="6" t="s">
        <v>88</v>
      </c>
      <c r="C36" s="7">
        <v>45965.0</v>
      </c>
      <c r="D36" s="6" t="s">
        <v>41</v>
      </c>
      <c r="E36" s="6" t="s">
        <v>94</v>
      </c>
      <c r="F36" s="6" t="s">
        <v>37</v>
      </c>
      <c r="G36" s="8">
        <v>1.0</v>
      </c>
      <c r="H36" s="8">
        <v>299.0</v>
      </c>
      <c r="I36" s="8">
        <v>0.08</v>
      </c>
      <c r="J36" s="8">
        <v>275.08</v>
      </c>
      <c r="K36" s="6" t="s">
        <v>51</v>
      </c>
      <c r="L36" s="8">
        <v>3.2</v>
      </c>
      <c r="M36" s="8">
        <v>37.0</v>
      </c>
      <c r="N36" s="6" t="s">
        <v>21</v>
      </c>
      <c r="O36" s="9"/>
    </row>
    <row r="37" ht="22.5" customHeight="1">
      <c r="A37" s="6" t="s">
        <v>110</v>
      </c>
      <c r="B37" s="6" t="s">
        <v>63</v>
      </c>
      <c r="C37" s="7">
        <v>45966.0</v>
      </c>
      <c r="D37" s="6" t="s">
        <v>17</v>
      </c>
      <c r="E37" s="6" t="s">
        <v>111</v>
      </c>
      <c r="F37" s="6" t="s">
        <v>19</v>
      </c>
      <c r="G37" s="8">
        <v>2.0</v>
      </c>
      <c r="H37" s="8">
        <v>1499.0</v>
      </c>
      <c r="I37" s="8">
        <v>0.12</v>
      </c>
      <c r="J37" s="8">
        <v>2638.24</v>
      </c>
      <c r="K37" s="6" t="s">
        <v>20</v>
      </c>
      <c r="L37" s="8">
        <v>4.9</v>
      </c>
      <c r="M37" s="8">
        <v>32.0</v>
      </c>
      <c r="N37" s="6" t="s">
        <v>21</v>
      </c>
      <c r="O37" s="9"/>
    </row>
    <row r="38" ht="22.5" customHeight="1">
      <c r="A38" s="6" t="s">
        <v>112</v>
      </c>
      <c r="B38" s="6" t="s">
        <v>72</v>
      </c>
      <c r="C38" s="7">
        <v>45967.0</v>
      </c>
      <c r="D38" s="6" t="s">
        <v>41</v>
      </c>
      <c r="E38" s="6" t="s">
        <v>42</v>
      </c>
      <c r="F38" s="6" t="s">
        <v>32</v>
      </c>
      <c r="G38" s="8">
        <v>1.0</v>
      </c>
      <c r="H38" s="8">
        <v>49.0</v>
      </c>
      <c r="I38" s="8">
        <v>0.0</v>
      </c>
      <c r="J38" s="8">
        <v>49.0</v>
      </c>
      <c r="K38" s="10"/>
      <c r="L38" s="8">
        <v>4.7</v>
      </c>
      <c r="M38" s="8">
        <v>43.0</v>
      </c>
      <c r="N38" s="6" t="s">
        <v>21</v>
      </c>
      <c r="O38" s="9"/>
    </row>
    <row r="39" ht="22.5" customHeight="1">
      <c r="A39" s="6" t="s">
        <v>113</v>
      </c>
      <c r="B39" s="6" t="s">
        <v>114</v>
      </c>
      <c r="C39" s="7">
        <v>45968.0</v>
      </c>
      <c r="D39" s="6" t="s">
        <v>30</v>
      </c>
      <c r="E39" s="6" t="s">
        <v>86</v>
      </c>
      <c r="F39" s="6" t="s">
        <v>19</v>
      </c>
      <c r="G39" s="8">
        <v>1.0</v>
      </c>
      <c r="H39" s="8">
        <v>699.0</v>
      </c>
      <c r="I39" s="8">
        <v>0.19</v>
      </c>
      <c r="J39" s="8">
        <v>566.19</v>
      </c>
      <c r="K39" s="6" t="s">
        <v>27</v>
      </c>
      <c r="L39" s="8">
        <v>4.1</v>
      </c>
      <c r="M39" s="8">
        <v>41.0</v>
      </c>
      <c r="N39" s="6" t="s">
        <v>21</v>
      </c>
      <c r="O39" s="9"/>
    </row>
    <row r="40" ht="22.5" customHeight="1">
      <c r="A40" s="6" t="s">
        <v>115</v>
      </c>
      <c r="B40" s="6" t="s">
        <v>116</v>
      </c>
      <c r="C40" s="7">
        <v>45969.0</v>
      </c>
      <c r="D40" s="6" t="s">
        <v>24</v>
      </c>
      <c r="E40" s="6" t="s">
        <v>117</v>
      </c>
      <c r="F40" s="6" t="s">
        <v>32</v>
      </c>
      <c r="G40" s="8">
        <v>2.0</v>
      </c>
      <c r="H40" s="8">
        <v>299.0</v>
      </c>
      <c r="I40" s="8">
        <v>0.05</v>
      </c>
      <c r="J40" s="8">
        <v>568.1</v>
      </c>
      <c r="K40" s="6" t="s">
        <v>27</v>
      </c>
      <c r="L40" s="8">
        <v>3.5</v>
      </c>
      <c r="M40" s="8">
        <v>40.0</v>
      </c>
      <c r="N40" s="6" t="s">
        <v>21</v>
      </c>
      <c r="O40" s="9"/>
    </row>
    <row r="41" ht="22.5" customHeight="1">
      <c r="A41" s="6" t="s">
        <v>118</v>
      </c>
      <c r="B41" s="6" t="s">
        <v>119</v>
      </c>
      <c r="C41" s="7">
        <v>45970.0</v>
      </c>
      <c r="D41" s="6" t="s">
        <v>30</v>
      </c>
      <c r="E41" s="6" t="s">
        <v>86</v>
      </c>
      <c r="F41" s="6" t="s">
        <v>26</v>
      </c>
      <c r="G41" s="8">
        <v>2.0</v>
      </c>
      <c r="H41" s="8">
        <v>999.0</v>
      </c>
      <c r="I41" s="8">
        <v>0.18</v>
      </c>
      <c r="J41" s="8">
        <v>1638.36</v>
      </c>
      <c r="K41" s="6" t="s">
        <v>27</v>
      </c>
      <c r="L41" s="8">
        <v>4.1</v>
      </c>
      <c r="M41" s="8">
        <v>17.0</v>
      </c>
      <c r="N41" s="6" t="s">
        <v>21</v>
      </c>
      <c r="O41" s="9"/>
    </row>
    <row r="42" ht="22.5" customHeight="1">
      <c r="A42" s="6" t="s">
        <v>120</v>
      </c>
      <c r="B42" s="6" t="s">
        <v>121</v>
      </c>
      <c r="C42" s="7">
        <v>45971.0</v>
      </c>
      <c r="D42" s="6" t="s">
        <v>41</v>
      </c>
      <c r="E42" s="6" t="s">
        <v>54</v>
      </c>
      <c r="F42" s="6" t="s">
        <v>26</v>
      </c>
      <c r="G42" s="8">
        <v>1.0</v>
      </c>
      <c r="H42" s="8">
        <v>499.0</v>
      </c>
      <c r="I42" s="8">
        <v>0.17</v>
      </c>
      <c r="J42" s="8">
        <v>414.17</v>
      </c>
      <c r="K42" s="6" t="s">
        <v>33</v>
      </c>
      <c r="L42" s="8">
        <v>5.0</v>
      </c>
      <c r="M42" s="8">
        <v>36.0</v>
      </c>
      <c r="N42" s="6" t="s">
        <v>21</v>
      </c>
      <c r="O42" s="9"/>
    </row>
    <row r="43" ht="22.5" customHeight="1">
      <c r="A43" s="6" t="s">
        <v>122</v>
      </c>
      <c r="B43" s="6" t="s">
        <v>123</v>
      </c>
      <c r="C43" s="7">
        <v>45972.0</v>
      </c>
      <c r="D43" s="6" t="s">
        <v>41</v>
      </c>
      <c r="E43" s="6" t="s">
        <v>94</v>
      </c>
      <c r="F43" s="6" t="s">
        <v>19</v>
      </c>
      <c r="G43" s="8">
        <v>1.0</v>
      </c>
      <c r="H43" s="8">
        <v>1999.0</v>
      </c>
      <c r="I43" s="8">
        <v>0.11</v>
      </c>
      <c r="J43" s="8">
        <v>1779.11</v>
      </c>
      <c r="K43" s="6" t="s">
        <v>33</v>
      </c>
      <c r="L43" s="8">
        <v>4.3</v>
      </c>
      <c r="M43" s="8">
        <v>30.0</v>
      </c>
      <c r="N43" s="6" t="s">
        <v>21</v>
      </c>
      <c r="O43" s="9"/>
    </row>
    <row r="44" ht="22.5" customHeight="1">
      <c r="A44" s="6" t="s">
        <v>124</v>
      </c>
      <c r="B44" s="6" t="s">
        <v>125</v>
      </c>
      <c r="C44" s="7">
        <v>45973.0</v>
      </c>
      <c r="D44" s="6" t="s">
        <v>30</v>
      </c>
      <c r="E44" s="6" t="s">
        <v>36</v>
      </c>
      <c r="F44" s="6" t="s">
        <v>32</v>
      </c>
      <c r="G44" s="8">
        <v>2.0</v>
      </c>
      <c r="H44" s="8">
        <v>149.0</v>
      </c>
      <c r="I44" s="8">
        <v>0.0</v>
      </c>
      <c r="J44" s="8">
        <v>298.0</v>
      </c>
      <c r="K44" s="6" t="s">
        <v>51</v>
      </c>
      <c r="L44" s="8">
        <v>4.9</v>
      </c>
      <c r="M44" s="8">
        <v>29.0</v>
      </c>
      <c r="N44" s="6" t="s">
        <v>21</v>
      </c>
      <c r="O44" s="9"/>
    </row>
    <row r="45" ht="22.5" customHeight="1">
      <c r="A45" s="6" t="s">
        <v>126</v>
      </c>
      <c r="B45" s="6" t="s">
        <v>127</v>
      </c>
      <c r="C45" s="7">
        <v>45974.0</v>
      </c>
      <c r="D45" s="6" t="s">
        <v>30</v>
      </c>
      <c r="E45" s="6" t="s">
        <v>70</v>
      </c>
      <c r="F45" s="6" t="s">
        <v>37</v>
      </c>
      <c r="G45" s="8">
        <v>4.0</v>
      </c>
      <c r="H45" s="8">
        <v>999.0</v>
      </c>
      <c r="I45" s="8">
        <v>0.12</v>
      </c>
      <c r="J45" s="8">
        <v>3516.48</v>
      </c>
      <c r="K45" s="6" t="s">
        <v>27</v>
      </c>
      <c r="L45" s="8">
        <v>3.0</v>
      </c>
      <c r="M45" s="8">
        <v>41.0</v>
      </c>
      <c r="N45" s="6" t="s">
        <v>21</v>
      </c>
      <c r="O45" s="9"/>
    </row>
    <row r="46" ht="22.5" customHeight="1">
      <c r="A46" s="6" t="s">
        <v>128</v>
      </c>
      <c r="B46" s="6" t="s">
        <v>72</v>
      </c>
      <c r="C46" s="7">
        <v>45975.0</v>
      </c>
      <c r="D46" s="6" t="s">
        <v>41</v>
      </c>
      <c r="E46" s="6" t="s">
        <v>54</v>
      </c>
      <c r="F46" s="6" t="s">
        <v>65</v>
      </c>
      <c r="G46" s="8">
        <v>2.0</v>
      </c>
      <c r="H46" s="8">
        <v>299.0</v>
      </c>
      <c r="I46" s="8">
        <v>0.14</v>
      </c>
      <c r="J46" s="8">
        <v>514.28</v>
      </c>
      <c r="K46" s="6" t="s">
        <v>33</v>
      </c>
      <c r="L46" s="8">
        <v>3.9</v>
      </c>
      <c r="M46" s="8">
        <v>44.0</v>
      </c>
      <c r="N46" s="6" t="s">
        <v>21</v>
      </c>
      <c r="O46" s="9"/>
    </row>
    <row r="47" ht="22.5" customHeight="1">
      <c r="A47" s="6" t="s">
        <v>129</v>
      </c>
      <c r="B47" s="6" t="s">
        <v>130</v>
      </c>
      <c r="C47" s="7">
        <v>45976.0</v>
      </c>
      <c r="D47" s="6" t="s">
        <v>30</v>
      </c>
      <c r="E47" s="6" t="s">
        <v>31</v>
      </c>
      <c r="F47" s="6" t="s">
        <v>57</v>
      </c>
      <c r="G47" s="8">
        <v>2.0</v>
      </c>
      <c r="H47" s="8">
        <v>149.0</v>
      </c>
      <c r="I47" s="8">
        <v>0.09</v>
      </c>
      <c r="J47" s="8">
        <v>271.18</v>
      </c>
      <c r="K47" s="6" t="s">
        <v>51</v>
      </c>
      <c r="L47" s="8">
        <v>4.2</v>
      </c>
      <c r="M47" s="8">
        <v>36.0</v>
      </c>
      <c r="N47" s="6" t="s">
        <v>21</v>
      </c>
      <c r="O47" s="9"/>
    </row>
    <row r="48" ht="22.5" customHeight="1">
      <c r="A48" s="6" t="s">
        <v>131</v>
      </c>
      <c r="B48" s="6" t="s">
        <v>132</v>
      </c>
      <c r="C48" s="7">
        <v>45977.0</v>
      </c>
      <c r="D48" s="6" t="s">
        <v>17</v>
      </c>
      <c r="E48" s="6" t="s">
        <v>75</v>
      </c>
      <c r="F48" s="6" t="s">
        <v>32</v>
      </c>
      <c r="G48" s="8">
        <v>1.0</v>
      </c>
      <c r="H48" s="8">
        <v>249.0</v>
      </c>
      <c r="I48" s="8">
        <v>0.14</v>
      </c>
      <c r="J48" s="8">
        <v>214.14</v>
      </c>
      <c r="K48" s="6" t="s">
        <v>20</v>
      </c>
      <c r="L48" s="8">
        <v>4.3</v>
      </c>
      <c r="M48" s="8">
        <v>28.0</v>
      </c>
      <c r="N48" s="6" t="s">
        <v>21</v>
      </c>
      <c r="O48" s="9"/>
    </row>
    <row r="49" ht="22.5" customHeight="1">
      <c r="A49" s="6" t="s">
        <v>133</v>
      </c>
      <c r="B49" s="6" t="s">
        <v>134</v>
      </c>
      <c r="C49" s="7">
        <v>45978.0</v>
      </c>
      <c r="D49" s="6" t="s">
        <v>41</v>
      </c>
      <c r="E49" s="6" t="s">
        <v>42</v>
      </c>
      <c r="F49" s="6" t="s">
        <v>26</v>
      </c>
      <c r="G49" s="8">
        <v>2.0</v>
      </c>
      <c r="H49" s="8">
        <v>99.0</v>
      </c>
      <c r="I49" s="8">
        <v>0.2</v>
      </c>
      <c r="J49" s="8">
        <v>158.4</v>
      </c>
      <c r="K49" s="6" t="s">
        <v>27</v>
      </c>
      <c r="L49" s="8">
        <v>5.0</v>
      </c>
      <c r="M49" s="8">
        <v>57.0</v>
      </c>
      <c r="N49" s="6" t="s">
        <v>21</v>
      </c>
      <c r="O49" s="9"/>
    </row>
    <row r="50" ht="22.5" customHeight="1">
      <c r="A50" s="6" t="s">
        <v>135</v>
      </c>
      <c r="B50" s="6" t="s">
        <v>136</v>
      </c>
      <c r="C50" s="7">
        <v>45979.0</v>
      </c>
      <c r="D50" s="6" t="s">
        <v>17</v>
      </c>
      <c r="E50" s="6" t="s">
        <v>75</v>
      </c>
      <c r="F50" s="6" t="s">
        <v>26</v>
      </c>
      <c r="G50" s="8">
        <v>5.0</v>
      </c>
      <c r="H50" s="8">
        <v>249.0</v>
      </c>
      <c r="I50" s="8">
        <v>0.12</v>
      </c>
      <c r="J50" s="8">
        <v>1095.6</v>
      </c>
      <c r="K50" s="6" t="s">
        <v>33</v>
      </c>
      <c r="L50" s="8">
        <v>4.2</v>
      </c>
      <c r="M50" s="8">
        <v>49.0</v>
      </c>
      <c r="N50" s="6" t="s">
        <v>21</v>
      </c>
      <c r="O50" s="9"/>
    </row>
    <row r="51" ht="22.5" customHeight="1">
      <c r="A51" s="6" t="s">
        <v>137</v>
      </c>
      <c r="B51" s="6" t="s">
        <v>138</v>
      </c>
      <c r="C51" s="7">
        <v>45980.0</v>
      </c>
      <c r="D51" s="6" t="s">
        <v>24</v>
      </c>
      <c r="E51" s="6" t="s">
        <v>117</v>
      </c>
      <c r="F51" s="6" t="s">
        <v>19</v>
      </c>
      <c r="G51" s="8">
        <v>1.0</v>
      </c>
      <c r="H51" s="8">
        <v>299.0</v>
      </c>
      <c r="I51" s="8">
        <v>0.17</v>
      </c>
      <c r="J51" s="8">
        <v>248.17</v>
      </c>
      <c r="K51" s="6" t="s">
        <v>33</v>
      </c>
      <c r="L51" s="8">
        <v>4.5</v>
      </c>
      <c r="M51" s="8">
        <v>43.0</v>
      </c>
      <c r="N51" s="6" t="s">
        <v>21</v>
      </c>
      <c r="O51" s="9"/>
    </row>
    <row r="52" ht="22.5" customHeight="1">
      <c r="A52" s="6" t="s">
        <v>139</v>
      </c>
      <c r="B52" s="6" t="s">
        <v>97</v>
      </c>
      <c r="C52" s="7">
        <v>45981.0</v>
      </c>
      <c r="D52" s="6" t="s">
        <v>24</v>
      </c>
      <c r="E52" s="6" t="s">
        <v>140</v>
      </c>
      <c r="F52" s="6" t="s">
        <v>26</v>
      </c>
      <c r="G52" s="8">
        <v>1.0</v>
      </c>
      <c r="H52" s="8">
        <v>199.0</v>
      </c>
      <c r="I52" s="8">
        <v>0.19</v>
      </c>
      <c r="J52" s="8">
        <v>161.19</v>
      </c>
      <c r="K52" s="6" t="s">
        <v>27</v>
      </c>
      <c r="L52" s="8">
        <v>3.9</v>
      </c>
      <c r="M52" s="8">
        <v>53.0</v>
      </c>
      <c r="N52" s="6" t="s">
        <v>21</v>
      </c>
      <c r="O52" s="9"/>
    </row>
    <row r="53" ht="22.5" customHeight="1">
      <c r="A53" s="6" t="s">
        <v>141</v>
      </c>
      <c r="B53" s="6" t="s">
        <v>142</v>
      </c>
      <c r="C53" s="7">
        <v>45982.0</v>
      </c>
      <c r="D53" s="6" t="s">
        <v>41</v>
      </c>
      <c r="E53" s="6" t="s">
        <v>54</v>
      </c>
      <c r="F53" s="6" t="s">
        <v>37</v>
      </c>
      <c r="G53" s="8">
        <v>5.0</v>
      </c>
      <c r="H53" s="8">
        <v>249.0</v>
      </c>
      <c r="I53" s="8">
        <v>0.06</v>
      </c>
      <c r="J53" s="8">
        <v>1170.3</v>
      </c>
      <c r="K53" s="6" t="s">
        <v>20</v>
      </c>
      <c r="L53" s="8">
        <v>3.4</v>
      </c>
      <c r="M53" s="8">
        <v>26.0</v>
      </c>
      <c r="N53" s="6" t="s">
        <v>21</v>
      </c>
      <c r="O53" s="9"/>
    </row>
    <row r="54" ht="22.5" customHeight="1">
      <c r="A54" s="6" t="s">
        <v>143</v>
      </c>
      <c r="B54" s="6" t="s">
        <v>74</v>
      </c>
      <c r="C54" s="7">
        <v>45983.0</v>
      </c>
      <c r="D54" s="6" t="s">
        <v>17</v>
      </c>
      <c r="E54" s="6" t="s">
        <v>75</v>
      </c>
      <c r="F54" s="6" t="s">
        <v>65</v>
      </c>
      <c r="G54" s="8">
        <v>1.0</v>
      </c>
      <c r="H54" s="8">
        <v>299.0</v>
      </c>
      <c r="I54" s="8">
        <v>0.15</v>
      </c>
      <c r="J54" s="8">
        <v>254.15</v>
      </c>
      <c r="K54" s="6" t="s">
        <v>27</v>
      </c>
      <c r="L54" s="8">
        <v>3.6</v>
      </c>
      <c r="M54" s="8">
        <v>27.0</v>
      </c>
      <c r="N54" s="6" t="s">
        <v>21</v>
      </c>
      <c r="O54" s="9"/>
    </row>
    <row r="55" ht="22.5" customHeight="1">
      <c r="A55" s="6" t="s">
        <v>144</v>
      </c>
      <c r="B55" s="6" t="s">
        <v>145</v>
      </c>
      <c r="C55" s="7">
        <v>45984.0</v>
      </c>
      <c r="D55" s="6" t="s">
        <v>41</v>
      </c>
      <c r="E55" s="6" t="s">
        <v>54</v>
      </c>
      <c r="F55" s="6" t="s">
        <v>32</v>
      </c>
      <c r="G55" s="8">
        <v>1.0</v>
      </c>
      <c r="H55" s="8">
        <v>1499.0</v>
      </c>
      <c r="I55" s="8">
        <v>0.11</v>
      </c>
      <c r="J55" s="8">
        <v>1334.11</v>
      </c>
      <c r="K55" s="6" t="s">
        <v>33</v>
      </c>
      <c r="L55" s="8">
        <v>5.0</v>
      </c>
      <c r="M55" s="8">
        <v>20.0</v>
      </c>
      <c r="N55" s="6" t="s">
        <v>21</v>
      </c>
      <c r="O55" s="9"/>
    </row>
    <row r="56" ht="22.5" customHeight="1">
      <c r="A56" s="6" t="s">
        <v>146</v>
      </c>
      <c r="B56" s="6" t="s">
        <v>147</v>
      </c>
      <c r="C56" s="7">
        <v>45985.0</v>
      </c>
      <c r="D56" s="6" t="s">
        <v>24</v>
      </c>
      <c r="E56" s="6" t="s">
        <v>25</v>
      </c>
      <c r="F56" s="6" t="s">
        <v>32</v>
      </c>
      <c r="G56" s="8">
        <v>2.0</v>
      </c>
      <c r="H56" s="8">
        <v>299.0</v>
      </c>
      <c r="I56" s="8">
        <v>0.05</v>
      </c>
      <c r="J56" s="8">
        <v>568.1</v>
      </c>
      <c r="K56" s="6" t="s">
        <v>51</v>
      </c>
      <c r="L56" s="8">
        <v>3.5</v>
      </c>
      <c r="M56" s="8">
        <v>27.0</v>
      </c>
      <c r="N56" s="6" t="s">
        <v>21</v>
      </c>
      <c r="O56" s="9"/>
    </row>
    <row r="57" ht="22.5" customHeight="1">
      <c r="A57" s="6" t="s">
        <v>148</v>
      </c>
      <c r="B57" s="6" t="s">
        <v>149</v>
      </c>
      <c r="C57" s="7">
        <v>45986.0</v>
      </c>
      <c r="D57" s="6" t="s">
        <v>24</v>
      </c>
      <c r="E57" s="6" t="s">
        <v>140</v>
      </c>
      <c r="F57" s="6" t="s">
        <v>65</v>
      </c>
      <c r="G57" s="8">
        <v>2.0</v>
      </c>
      <c r="H57" s="8">
        <v>1999.0</v>
      </c>
      <c r="I57" s="8">
        <v>0.12</v>
      </c>
      <c r="J57" s="8">
        <v>3518.24</v>
      </c>
      <c r="K57" s="6" t="s">
        <v>27</v>
      </c>
      <c r="L57" s="8">
        <v>3.9</v>
      </c>
      <c r="M57" s="8">
        <v>32.0</v>
      </c>
      <c r="N57" s="6" t="s">
        <v>21</v>
      </c>
      <c r="O57" s="9"/>
    </row>
    <row r="58" ht="22.5" customHeight="1">
      <c r="A58" s="6" t="s">
        <v>150</v>
      </c>
      <c r="B58" s="6" t="s">
        <v>151</v>
      </c>
      <c r="C58" s="7">
        <v>45987.0</v>
      </c>
      <c r="D58" s="6" t="s">
        <v>24</v>
      </c>
      <c r="E58" s="6" t="s">
        <v>117</v>
      </c>
      <c r="F58" s="6" t="s">
        <v>37</v>
      </c>
      <c r="G58" s="8">
        <v>2.0</v>
      </c>
      <c r="H58" s="8">
        <v>699.0</v>
      </c>
      <c r="I58" s="8">
        <v>0.17</v>
      </c>
      <c r="J58" s="8">
        <v>1160.34</v>
      </c>
      <c r="K58" s="6" t="s">
        <v>20</v>
      </c>
      <c r="L58" s="8">
        <v>4.8</v>
      </c>
      <c r="M58" s="8">
        <v>26.0</v>
      </c>
      <c r="N58" s="6" t="s">
        <v>21</v>
      </c>
      <c r="O58" s="9"/>
    </row>
    <row r="59" ht="22.5" customHeight="1">
      <c r="A59" s="6" t="s">
        <v>152</v>
      </c>
      <c r="B59" s="6" t="s">
        <v>153</v>
      </c>
      <c r="C59" s="7">
        <v>45988.0</v>
      </c>
      <c r="D59" s="6" t="s">
        <v>30</v>
      </c>
      <c r="E59" s="6" t="s">
        <v>31</v>
      </c>
      <c r="F59" s="6" t="s">
        <v>65</v>
      </c>
      <c r="G59" s="8">
        <v>4.0</v>
      </c>
      <c r="H59" s="8">
        <v>49.0</v>
      </c>
      <c r="I59" s="8">
        <v>0.09</v>
      </c>
      <c r="J59" s="8">
        <v>178.36</v>
      </c>
      <c r="K59" s="6" t="s">
        <v>20</v>
      </c>
      <c r="L59" s="8">
        <v>3.1</v>
      </c>
      <c r="M59" s="8">
        <v>33.0</v>
      </c>
      <c r="N59" s="6" t="s">
        <v>21</v>
      </c>
      <c r="O59" s="9"/>
    </row>
    <row r="60" ht="22.5" customHeight="1">
      <c r="A60" s="6" t="s">
        <v>154</v>
      </c>
      <c r="B60" s="6" t="s">
        <v>125</v>
      </c>
      <c r="C60" s="7">
        <v>45989.0</v>
      </c>
      <c r="D60" s="6" t="s">
        <v>41</v>
      </c>
      <c r="E60" s="6" t="s">
        <v>94</v>
      </c>
      <c r="F60" s="6" t="s">
        <v>65</v>
      </c>
      <c r="G60" s="8">
        <v>1.0</v>
      </c>
      <c r="H60" s="8">
        <v>499.0</v>
      </c>
      <c r="I60" s="8">
        <v>0.16</v>
      </c>
      <c r="J60" s="8">
        <v>419.16</v>
      </c>
      <c r="K60" s="6" t="s">
        <v>27</v>
      </c>
      <c r="L60" s="8">
        <v>5.0</v>
      </c>
      <c r="M60" s="8">
        <v>50.0</v>
      </c>
      <c r="N60" s="6" t="s">
        <v>21</v>
      </c>
      <c r="O60" s="9"/>
    </row>
    <row r="61" ht="22.5" customHeight="1">
      <c r="A61" s="6" t="s">
        <v>155</v>
      </c>
      <c r="B61" s="6" t="s">
        <v>156</v>
      </c>
      <c r="C61" s="7">
        <v>45990.0</v>
      </c>
      <c r="D61" s="6" t="s">
        <v>30</v>
      </c>
      <c r="E61" s="6" t="s">
        <v>31</v>
      </c>
      <c r="F61" s="6" t="s">
        <v>32</v>
      </c>
      <c r="G61" s="8">
        <v>1.0</v>
      </c>
      <c r="H61" s="8">
        <v>49.0</v>
      </c>
      <c r="I61" s="8">
        <v>0.0</v>
      </c>
      <c r="J61" s="8">
        <v>49.0</v>
      </c>
      <c r="K61" s="6" t="s">
        <v>27</v>
      </c>
      <c r="L61" s="8">
        <v>4.4</v>
      </c>
      <c r="M61" s="8">
        <v>39.0</v>
      </c>
      <c r="N61" s="6" t="s">
        <v>21</v>
      </c>
      <c r="O61" s="9"/>
    </row>
    <row r="62" ht="22.5" customHeight="1">
      <c r="A62" s="6" t="s">
        <v>157</v>
      </c>
      <c r="B62" s="6" t="s">
        <v>158</v>
      </c>
      <c r="C62" s="7">
        <v>45991.0</v>
      </c>
      <c r="D62" s="6" t="s">
        <v>41</v>
      </c>
      <c r="E62" s="6" t="s">
        <v>42</v>
      </c>
      <c r="F62" s="6" t="s">
        <v>57</v>
      </c>
      <c r="G62" s="8">
        <v>3.0</v>
      </c>
      <c r="H62" s="8">
        <v>1499.0</v>
      </c>
      <c r="I62" s="8">
        <v>0.09</v>
      </c>
      <c r="J62" s="8">
        <v>4092.27</v>
      </c>
      <c r="K62" s="6" t="s">
        <v>51</v>
      </c>
      <c r="L62" s="8">
        <v>5.0</v>
      </c>
      <c r="M62" s="8">
        <v>27.0</v>
      </c>
      <c r="N62" s="6" t="s">
        <v>21</v>
      </c>
      <c r="O62" s="9"/>
    </row>
    <row r="63" ht="22.5" customHeight="1">
      <c r="A63" s="6" t="s">
        <v>159</v>
      </c>
      <c r="B63" s="6" t="s">
        <v>160</v>
      </c>
      <c r="C63" s="7">
        <v>45992.0</v>
      </c>
      <c r="D63" s="6" t="s">
        <v>41</v>
      </c>
      <c r="E63" s="6" t="s">
        <v>42</v>
      </c>
      <c r="F63" s="6" t="s">
        <v>65</v>
      </c>
      <c r="G63" s="8">
        <v>5.0</v>
      </c>
      <c r="H63" s="8">
        <v>199.0</v>
      </c>
      <c r="I63" s="8">
        <v>0.21</v>
      </c>
      <c r="J63" s="8">
        <v>786.05</v>
      </c>
      <c r="K63" s="6" t="s">
        <v>33</v>
      </c>
      <c r="L63" s="8">
        <v>4.4</v>
      </c>
      <c r="M63" s="8">
        <v>34.0</v>
      </c>
      <c r="N63" s="6" t="s">
        <v>21</v>
      </c>
      <c r="O63" s="9"/>
    </row>
    <row r="64" ht="22.5" customHeight="1">
      <c r="A64" s="6" t="s">
        <v>161</v>
      </c>
      <c r="B64" s="6" t="s">
        <v>162</v>
      </c>
      <c r="C64" s="7">
        <v>45993.0</v>
      </c>
      <c r="D64" s="6" t="s">
        <v>30</v>
      </c>
      <c r="E64" s="6" t="s">
        <v>36</v>
      </c>
      <c r="F64" s="6" t="s">
        <v>37</v>
      </c>
      <c r="G64" s="8">
        <v>3.0</v>
      </c>
      <c r="H64" s="8">
        <v>999.0</v>
      </c>
      <c r="I64" s="8">
        <v>0.12</v>
      </c>
      <c r="J64" s="8">
        <v>2637.36</v>
      </c>
      <c r="K64" s="6" t="s">
        <v>20</v>
      </c>
      <c r="L64" s="8">
        <v>4.5</v>
      </c>
      <c r="M64" s="8">
        <v>21.0</v>
      </c>
      <c r="N64" s="6" t="s">
        <v>21</v>
      </c>
      <c r="O64" s="9"/>
    </row>
    <row r="65" ht="22.5" customHeight="1">
      <c r="A65" s="6" t="s">
        <v>163</v>
      </c>
      <c r="B65" s="6" t="s">
        <v>164</v>
      </c>
      <c r="C65" s="7">
        <v>45994.0</v>
      </c>
      <c r="D65" s="6" t="s">
        <v>30</v>
      </c>
      <c r="E65" s="6" t="s">
        <v>86</v>
      </c>
      <c r="F65" s="6" t="s">
        <v>37</v>
      </c>
      <c r="G65" s="8">
        <v>1.0</v>
      </c>
      <c r="H65" s="8">
        <v>1499.0</v>
      </c>
      <c r="I65" s="8">
        <v>0.0</v>
      </c>
      <c r="J65" s="8">
        <v>1499.0</v>
      </c>
      <c r="K65" s="6" t="s">
        <v>20</v>
      </c>
      <c r="L65" s="8">
        <v>2.8</v>
      </c>
      <c r="M65" s="8">
        <v>35.0</v>
      </c>
      <c r="N65" s="6" t="s">
        <v>21</v>
      </c>
      <c r="O65" s="9"/>
    </row>
    <row r="66" ht="22.5" customHeight="1">
      <c r="A66" s="6" t="s">
        <v>165</v>
      </c>
      <c r="B66" s="6" t="s">
        <v>166</v>
      </c>
      <c r="C66" s="7">
        <v>45995.0</v>
      </c>
      <c r="D66" s="6" t="s">
        <v>41</v>
      </c>
      <c r="E66" s="6" t="s">
        <v>45</v>
      </c>
      <c r="F66" s="6" t="s">
        <v>65</v>
      </c>
      <c r="G66" s="8">
        <v>1.0</v>
      </c>
      <c r="H66" s="8">
        <v>499.0</v>
      </c>
      <c r="I66" s="8">
        <v>0.09</v>
      </c>
      <c r="J66" s="8">
        <v>454.09</v>
      </c>
      <c r="K66" s="6" t="s">
        <v>33</v>
      </c>
      <c r="L66" s="8">
        <v>3.8</v>
      </c>
      <c r="M66" s="8">
        <v>22.0</v>
      </c>
      <c r="N66" s="6" t="s">
        <v>21</v>
      </c>
      <c r="O66" s="9"/>
    </row>
    <row r="67" ht="22.5" customHeight="1">
      <c r="A67" s="6" t="s">
        <v>167</v>
      </c>
      <c r="B67" s="6" t="s">
        <v>168</v>
      </c>
      <c r="C67" s="7">
        <v>45996.0</v>
      </c>
      <c r="D67" s="6" t="s">
        <v>17</v>
      </c>
      <c r="E67" s="6" t="s">
        <v>18</v>
      </c>
      <c r="F67" s="6" t="s">
        <v>65</v>
      </c>
      <c r="G67" s="8">
        <v>1.0</v>
      </c>
      <c r="H67" s="8">
        <v>249.0</v>
      </c>
      <c r="I67" s="8">
        <v>0.21</v>
      </c>
      <c r="J67" s="8">
        <v>196.71</v>
      </c>
      <c r="K67" s="6" t="s">
        <v>51</v>
      </c>
      <c r="L67" s="8">
        <v>4.6</v>
      </c>
      <c r="M67" s="8">
        <v>30.0</v>
      </c>
      <c r="N67" s="6" t="s">
        <v>21</v>
      </c>
      <c r="O67" s="9"/>
    </row>
    <row r="68" ht="22.5" customHeight="1">
      <c r="A68" s="6" t="s">
        <v>169</v>
      </c>
      <c r="B68" s="6" t="s">
        <v>170</v>
      </c>
      <c r="C68" s="7">
        <v>45997.0</v>
      </c>
      <c r="D68" s="6" t="s">
        <v>24</v>
      </c>
      <c r="E68" s="6" t="s">
        <v>140</v>
      </c>
      <c r="F68" s="6" t="s">
        <v>65</v>
      </c>
      <c r="G68" s="8">
        <v>3.0</v>
      </c>
      <c r="H68" s="8">
        <v>1999.0</v>
      </c>
      <c r="I68" s="8">
        <v>0.18</v>
      </c>
      <c r="J68" s="8">
        <v>4917.54</v>
      </c>
      <c r="K68" s="6" t="s">
        <v>51</v>
      </c>
      <c r="L68" s="8">
        <v>4.2</v>
      </c>
      <c r="M68" s="8">
        <v>45.0</v>
      </c>
      <c r="N68" s="6" t="s">
        <v>21</v>
      </c>
      <c r="O68" s="9"/>
    </row>
    <row r="69" ht="22.5" customHeight="1">
      <c r="A69" s="6" t="s">
        <v>171</v>
      </c>
      <c r="B69" s="6" t="s">
        <v>172</v>
      </c>
      <c r="C69" s="7">
        <v>45998.0</v>
      </c>
      <c r="D69" s="6" t="s">
        <v>30</v>
      </c>
      <c r="E69" s="6" t="s">
        <v>86</v>
      </c>
      <c r="F69" s="6" t="s">
        <v>57</v>
      </c>
      <c r="G69" s="8">
        <v>2.0</v>
      </c>
      <c r="H69" s="8">
        <v>499.0</v>
      </c>
      <c r="I69" s="8">
        <v>0.05</v>
      </c>
      <c r="J69" s="8">
        <v>948.1</v>
      </c>
      <c r="K69" s="6" t="s">
        <v>27</v>
      </c>
      <c r="L69" s="8">
        <v>4.0</v>
      </c>
      <c r="M69" s="8">
        <v>51.0</v>
      </c>
      <c r="N69" s="6" t="s">
        <v>21</v>
      </c>
      <c r="O69" s="9"/>
    </row>
    <row r="70" ht="22.5" customHeight="1">
      <c r="A70" s="6" t="s">
        <v>173</v>
      </c>
      <c r="B70" s="6" t="s">
        <v>174</v>
      </c>
      <c r="C70" s="7">
        <v>45999.0</v>
      </c>
      <c r="D70" s="6" t="s">
        <v>17</v>
      </c>
      <c r="E70" s="10"/>
      <c r="F70" s="6" t="s">
        <v>57</v>
      </c>
      <c r="G70" s="8">
        <v>1.0</v>
      </c>
      <c r="H70" s="8">
        <v>1499.0</v>
      </c>
      <c r="I70" s="8">
        <v>0.14</v>
      </c>
      <c r="J70" s="8">
        <v>1289.14</v>
      </c>
      <c r="K70" s="6" t="s">
        <v>51</v>
      </c>
      <c r="L70" s="8">
        <v>4.0</v>
      </c>
      <c r="M70" s="8">
        <v>21.0</v>
      </c>
      <c r="N70" s="6" t="s">
        <v>21</v>
      </c>
      <c r="O70" s="9"/>
    </row>
    <row r="71" ht="22.5" customHeight="1">
      <c r="A71" s="6" t="s">
        <v>175</v>
      </c>
      <c r="B71" s="6" t="s">
        <v>176</v>
      </c>
      <c r="C71" s="7">
        <v>46000.0</v>
      </c>
      <c r="D71" s="6" t="s">
        <v>17</v>
      </c>
      <c r="E71" s="6" t="s">
        <v>111</v>
      </c>
      <c r="F71" s="6" t="s">
        <v>37</v>
      </c>
      <c r="G71" s="8">
        <v>1.0</v>
      </c>
      <c r="H71" s="8">
        <v>1499.0</v>
      </c>
      <c r="I71" s="8">
        <v>0.13</v>
      </c>
      <c r="J71" s="8">
        <v>1304.13</v>
      </c>
      <c r="K71" s="6" t="s">
        <v>33</v>
      </c>
      <c r="L71" s="8">
        <v>3.5</v>
      </c>
      <c r="M71" s="8">
        <v>51.0</v>
      </c>
      <c r="N71" s="6" t="s">
        <v>21</v>
      </c>
      <c r="O71" s="9"/>
    </row>
    <row r="72" ht="22.5" customHeight="1">
      <c r="A72" s="6" t="s">
        <v>177</v>
      </c>
      <c r="B72" s="6" t="s">
        <v>178</v>
      </c>
      <c r="C72" s="7">
        <v>46001.0</v>
      </c>
      <c r="D72" s="6" t="s">
        <v>41</v>
      </c>
      <c r="E72" s="6" t="s">
        <v>54</v>
      </c>
      <c r="F72" s="6" t="s">
        <v>57</v>
      </c>
      <c r="G72" s="8">
        <v>1.0</v>
      </c>
      <c r="H72" s="8">
        <v>1999.0</v>
      </c>
      <c r="I72" s="8">
        <v>0.15</v>
      </c>
      <c r="J72" s="8">
        <v>1699.15</v>
      </c>
      <c r="K72" s="6" t="s">
        <v>51</v>
      </c>
      <c r="L72" s="8">
        <v>3.8</v>
      </c>
      <c r="M72" s="8">
        <v>23.0</v>
      </c>
      <c r="N72" s="6" t="s">
        <v>21</v>
      </c>
      <c r="O72" s="9"/>
    </row>
    <row r="73" ht="22.5" customHeight="1">
      <c r="A73" s="6" t="s">
        <v>179</v>
      </c>
      <c r="B73" s="6" t="s">
        <v>180</v>
      </c>
      <c r="C73" s="7">
        <v>46002.0</v>
      </c>
      <c r="D73" s="6" t="s">
        <v>41</v>
      </c>
      <c r="E73" s="6" t="s">
        <v>94</v>
      </c>
      <c r="F73" s="6" t="s">
        <v>19</v>
      </c>
      <c r="G73" s="8">
        <v>1.0</v>
      </c>
      <c r="H73" s="8">
        <v>1999.0</v>
      </c>
      <c r="I73" s="8">
        <v>0.13</v>
      </c>
      <c r="J73" s="8">
        <v>1739.13</v>
      </c>
      <c r="K73" s="6" t="s">
        <v>51</v>
      </c>
      <c r="L73" s="8">
        <v>4.1</v>
      </c>
      <c r="M73" s="8">
        <v>39.0</v>
      </c>
      <c r="N73" s="6" t="s">
        <v>21</v>
      </c>
      <c r="O73" s="9"/>
    </row>
    <row r="74" ht="22.5" customHeight="1">
      <c r="A74" s="6" t="s">
        <v>181</v>
      </c>
      <c r="B74" s="6" t="s">
        <v>182</v>
      </c>
      <c r="C74" s="7">
        <v>46003.0</v>
      </c>
      <c r="D74" s="6" t="s">
        <v>41</v>
      </c>
      <c r="E74" s="6" t="s">
        <v>54</v>
      </c>
      <c r="F74" s="6" t="s">
        <v>37</v>
      </c>
      <c r="G74" s="8">
        <v>4.0</v>
      </c>
      <c r="H74" s="8">
        <v>249.0</v>
      </c>
      <c r="I74" s="8">
        <v>0.09</v>
      </c>
      <c r="J74" s="8">
        <v>906.36</v>
      </c>
      <c r="K74" s="6" t="s">
        <v>20</v>
      </c>
      <c r="L74" s="8">
        <v>4.4</v>
      </c>
      <c r="M74" s="8">
        <v>29.0</v>
      </c>
      <c r="N74" s="6" t="s">
        <v>21</v>
      </c>
      <c r="O74" s="9"/>
    </row>
    <row r="75" ht="22.5" customHeight="1">
      <c r="A75" s="6" t="s">
        <v>183</v>
      </c>
      <c r="B75" s="6" t="s">
        <v>184</v>
      </c>
      <c r="C75" s="7">
        <v>46004.0</v>
      </c>
      <c r="D75" s="6" t="s">
        <v>41</v>
      </c>
      <c r="E75" s="6" t="s">
        <v>45</v>
      </c>
      <c r="F75" s="6" t="s">
        <v>37</v>
      </c>
      <c r="G75" s="8">
        <v>2.0</v>
      </c>
      <c r="H75" s="8">
        <v>999.0</v>
      </c>
      <c r="I75" s="8">
        <v>0.1</v>
      </c>
      <c r="J75" s="8">
        <v>1798.2</v>
      </c>
      <c r="K75" s="6" t="s">
        <v>27</v>
      </c>
      <c r="L75" s="8">
        <v>3.5</v>
      </c>
      <c r="M75" s="8">
        <v>18.0</v>
      </c>
      <c r="N75" s="6" t="s">
        <v>21</v>
      </c>
      <c r="O75" s="9"/>
    </row>
    <row r="76" ht="22.5" customHeight="1">
      <c r="A76" s="6" t="s">
        <v>185</v>
      </c>
      <c r="B76" s="6" t="s">
        <v>186</v>
      </c>
      <c r="C76" s="7">
        <v>46005.0</v>
      </c>
      <c r="D76" s="6" t="s">
        <v>30</v>
      </c>
      <c r="E76" s="6" t="s">
        <v>36</v>
      </c>
      <c r="F76" s="6" t="s">
        <v>26</v>
      </c>
      <c r="G76" s="8">
        <v>4.0</v>
      </c>
      <c r="H76" s="8">
        <v>1499.0</v>
      </c>
      <c r="I76" s="8">
        <v>0.2</v>
      </c>
      <c r="J76" s="8">
        <v>4796.8</v>
      </c>
      <c r="K76" s="6" t="s">
        <v>51</v>
      </c>
      <c r="L76" s="8">
        <v>3.9</v>
      </c>
      <c r="M76" s="8">
        <v>38.0</v>
      </c>
      <c r="N76" s="6" t="s">
        <v>21</v>
      </c>
      <c r="O76" s="9"/>
    </row>
    <row r="77" ht="22.5" customHeight="1">
      <c r="A77" s="6" t="s">
        <v>187</v>
      </c>
      <c r="B77" s="6" t="s">
        <v>188</v>
      </c>
      <c r="C77" s="7">
        <v>46006.0</v>
      </c>
      <c r="D77" s="6" t="s">
        <v>24</v>
      </c>
      <c r="E77" s="6" t="s">
        <v>117</v>
      </c>
      <c r="F77" s="6" t="s">
        <v>19</v>
      </c>
      <c r="G77" s="8">
        <v>5.0</v>
      </c>
      <c r="H77" s="8">
        <v>299.0</v>
      </c>
      <c r="I77" s="8">
        <v>0.06</v>
      </c>
      <c r="J77" s="8">
        <v>1405.3</v>
      </c>
      <c r="K77" s="6" t="s">
        <v>27</v>
      </c>
      <c r="L77" s="8">
        <v>3.7</v>
      </c>
      <c r="M77" s="8">
        <v>45.0</v>
      </c>
      <c r="N77" s="6" t="s">
        <v>21</v>
      </c>
      <c r="O77" s="9"/>
    </row>
    <row r="78" ht="22.5" customHeight="1">
      <c r="A78" s="6" t="s">
        <v>189</v>
      </c>
      <c r="B78" s="6" t="s">
        <v>190</v>
      </c>
      <c r="C78" s="7">
        <v>46007.0</v>
      </c>
      <c r="D78" s="6" t="s">
        <v>24</v>
      </c>
      <c r="E78" s="6" t="s">
        <v>25</v>
      </c>
      <c r="F78" s="6" t="s">
        <v>26</v>
      </c>
      <c r="G78" s="8">
        <v>2.0</v>
      </c>
      <c r="H78" s="8">
        <v>149.0</v>
      </c>
      <c r="I78" s="8">
        <v>0.12</v>
      </c>
      <c r="J78" s="8">
        <v>262.24</v>
      </c>
      <c r="K78" s="6" t="s">
        <v>20</v>
      </c>
      <c r="L78" s="8">
        <v>3.2</v>
      </c>
      <c r="M78" s="8">
        <v>39.0</v>
      </c>
      <c r="N78" s="6" t="s">
        <v>21</v>
      </c>
      <c r="O78" s="9"/>
    </row>
    <row r="79" ht="22.5" customHeight="1">
      <c r="A79" s="6" t="s">
        <v>191</v>
      </c>
      <c r="B79" s="6" t="s">
        <v>192</v>
      </c>
      <c r="C79" s="7">
        <v>46008.0</v>
      </c>
      <c r="D79" s="6" t="s">
        <v>41</v>
      </c>
      <c r="E79" s="6" t="s">
        <v>54</v>
      </c>
      <c r="F79" s="6" t="s">
        <v>26</v>
      </c>
      <c r="G79" s="8">
        <v>3.0</v>
      </c>
      <c r="H79" s="8">
        <v>499.0</v>
      </c>
      <c r="I79" s="8">
        <v>0.09</v>
      </c>
      <c r="J79" s="8">
        <v>1362.27</v>
      </c>
      <c r="K79" s="6" t="s">
        <v>33</v>
      </c>
      <c r="L79" s="8">
        <v>5.0</v>
      </c>
      <c r="M79" s="8">
        <v>49.0</v>
      </c>
      <c r="N79" s="6" t="s">
        <v>21</v>
      </c>
      <c r="O79" s="9"/>
    </row>
    <row r="80" ht="22.5" customHeight="1">
      <c r="A80" s="6" t="s">
        <v>193</v>
      </c>
      <c r="B80" s="6" t="s">
        <v>194</v>
      </c>
      <c r="C80" s="7">
        <v>46009.0</v>
      </c>
      <c r="D80" s="6" t="s">
        <v>30</v>
      </c>
      <c r="E80" s="6" t="s">
        <v>86</v>
      </c>
      <c r="F80" s="6" t="s">
        <v>37</v>
      </c>
      <c r="G80" s="8">
        <v>1.0</v>
      </c>
      <c r="H80" s="8">
        <v>199.0</v>
      </c>
      <c r="I80" s="8">
        <v>0.25</v>
      </c>
      <c r="J80" s="8">
        <v>149.25</v>
      </c>
      <c r="K80" s="6" t="s">
        <v>33</v>
      </c>
      <c r="L80" s="8">
        <v>3.4</v>
      </c>
      <c r="M80" s="8">
        <v>31.0</v>
      </c>
      <c r="N80" s="6" t="s">
        <v>38</v>
      </c>
      <c r="O80" s="9"/>
    </row>
    <row r="81" ht="22.5" customHeight="1">
      <c r="A81" s="6" t="s">
        <v>195</v>
      </c>
      <c r="B81" s="6" t="s">
        <v>196</v>
      </c>
      <c r="C81" s="7">
        <v>46010.0</v>
      </c>
      <c r="D81" s="6" t="s">
        <v>30</v>
      </c>
      <c r="E81" s="6" t="s">
        <v>36</v>
      </c>
      <c r="F81" s="6" t="s">
        <v>26</v>
      </c>
      <c r="G81" s="8">
        <v>2.0</v>
      </c>
      <c r="H81" s="8">
        <v>99.0</v>
      </c>
      <c r="I81" s="8">
        <v>0.08</v>
      </c>
      <c r="J81" s="8">
        <v>182.16</v>
      </c>
      <c r="K81" s="6" t="s">
        <v>51</v>
      </c>
      <c r="L81" s="8">
        <v>3.4</v>
      </c>
      <c r="M81" s="8">
        <v>32.0</v>
      </c>
      <c r="N81" s="6" t="s">
        <v>21</v>
      </c>
      <c r="O81" s="9"/>
    </row>
    <row r="82" ht="22.5" customHeight="1">
      <c r="A82" s="6" t="s">
        <v>197</v>
      </c>
      <c r="B82" s="6" t="s">
        <v>160</v>
      </c>
      <c r="C82" s="7">
        <v>46011.0</v>
      </c>
      <c r="D82" s="6" t="s">
        <v>41</v>
      </c>
      <c r="E82" s="6" t="s">
        <v>42</v>
      </c>
      <c r="F82" s="6" t="s">
        <v>37</v>
      </c>
      <c r="G82" s="8">
        <v>2.0</v>
      </c>
      <c r="H82" s="8">
        <v>1999.0</v>
      </c>
      <c r="I82" s="8">
        <v>0.03</v>
      </c>
      <c r="J82" s="8">
        <v>3878.06</v>
      </c>
      <c r="K82" s="6" t="s">
        <v>27</v>
      </c>
      <c r="L82" s="8">
        <v>4.7</v>
      </c>
      <c r="M82" s="8">
        <v>30.0</v>
      </c>
      <c r="N82" s="6" t="s">
        <v>21</v>
      </c>
      <c r="O82" s="9"/>
    </row>
    <row r="83" ht="22.5" customHeight="1">
      <c r="A83" s="6" t="s">
        <v>198</v>
      </c>
      <c r="B83" s="6" t="s">
        <v>199</v>
      </c>
      <c r="C83" s="7">
        <v>46012.0</v>
      </c>
      <c r="D83" s="6" t="s">
        <v>41</v>
      </c>
      <c r="E83" s="6" t="s">
        <v>94</v>
      </c>
      <c r="F83" s="6" t="s">
        <v>37</v>
      </c>
      <c r="G83" s="8">
        <v>1.0</v>
      </c>
      <c r="H83" s="8">
        <v>199.0</v>
      </c>
      <c r="I83" s="8">
        <v>0.24</v>
      </c>
      <c r="J83" s="8">
        <v>151.24</v>
      </c>
      <c r="K83" s="6" t="s">
        <v>51</v>
      </c>
      <c r="L83" s="8">
        <v>4.9</v>
      </c>
      <c r="M83" s="8">
        <v>25.0</v>
      </c>
      <c r="N83" s="6" t="s">
        <v>21</v>
      </c>
      <c r="O83" s="9"/>
    </row>
    <row r="84" ht="22.5" customHeight="1">
      <c r="A84" s="6" t="s">
        <v>200</v>
      </c>
      <c r="B84" s="6" t="s">
        <v>201</v>
      </c>
      <c r="C84" s="7">
        <v>46013.0</v>
      </c>
      <c r="D84" s="6" t="s">
        <v>41</v>
      </c>
      <c r="E84" s="6" t="s">
        <v>45</v>
      </c>
      <c r="F84" s="6" t="s">
        <v>57</v>
      </c>
      <c r="G84" s="8">
        <v>2.0</v>
      </c>
      <c r="H84" s="8">
        <v>999.0</v>
      </c>
      <c r="I84" s="8">
        <v>0.15</v>
      </c>
      <c r="J84" s="8">
        <v>1698.3</v>
      </c>
      <c r="K84" s="6" t="s">
        <v>33</v>
      </c>
      <c r="L84" s="8">
        <v>4.0</v>
      </c>
      <c r="M84" s="8">
        <v>32.0</v>
      </c>
      <c r="N84" s="6" t="s">
        <v>21</v>
      </c>
      <c r="O84" s="9"/>
    </row>
    <row r="85" ht="22.5" customHeight="1">
      <c r="A85" s="6" t="s">
        <v>202</v>
      </c>
      <c r="B85" s="6" t="s">
        <v>203</v>
      </c>
      <c r="C85" s="7">
        <v>46014.0</v>
      </c>
      <c r="D85" s="6" t="s">
        <v>24</v>
      </c>
      <c r="E85" s="6" t="s">
        <v>140</v>
      </c>
      <c r="F85" s="6" t="s">
        <v>65</v>
      </c>
      <c r="G85" s="8">
        <v>2.0</v>
      </c>
      <c r="H85" s="8">
        <v>249.0</v>
      </c>
      <c r="I85" s="8">
        <v>0.11</v>
      </c>
      <c r="J85" s="8">
        <v>443.22</v>
      </c>
      <c r="K85" s="6" t="s">
        <v>20</v>
      </c>
      <c r="L85" s="8">
        <v>4.4</v>
      </c>
      <c r="M85" s="8">
        <v>22.0</v>
      </c>
      <c r="N85" s="6" t="s">
        <v>21</v>
      </c>
      <c r="O85" s="9"/>
    </row>
    <row r="86" ht="22.5" customHeight="1">
      <c r="A86" s="6" t="s">
        <v>204</v>
      </c>
      <c r="B86" s="6" t="s">
        <v>205</v>
      </c>
      <c r="C86" s="7">
        <v>46015.0</v>
      </c>
      <c r="D86" s="6" t="s">
        <v>17</v>
      </c>
      <c r="E86" s="6" t="s">
        <v>18</v>
      </c>
      <c r="F86" s="6" t="s">
        <v>37</v>
      </c>
      <c r="G86" s="8">
        <v>1.0</v>
      </c>
      <c r="H86" s="8">
        <v>999.0</v>
      </c>
      <c r="I86" s="8">
        <v>0.21</v>
      </c>
      <c r="J86" s="8">
        <v>789.21</v>
      </c>
      <c r="K86" s="6" t="s">
        <v>20</v>
      </c>
      <c r="L86" s="8">
        <v>4.2</v>
      </c>
      <c r="M86" s="8">
        <v>54.0</v>
      </c>
      <c r="N86" s="6" t="s">
        <v>21</v>
      </c>
      <c r="O86" s="9"/>
    </row>
    <row r="87" ht="22.5" customHeight="1">
      <c r="A87" s="6" t="s">
        <v>206</v>
      </c>
      <c r="B87" s="6" t="s">
        <v>35</v>
      </c>
      <c r="C87" s="7">
        <v>46016.0</v>
      </c>
      <c r="D87" s="6" t="s">
        <v>30</v>
      </c>
      <c r="E87" s="6" t="s">
        <v>36</v>
      </c>
      <c r="F87" s="6" t="s">
        <v>26</v>
      </c>
      <c r="G87" s="8">
        <v>1.0</v>
      </c>
      <c r="H87" s="8">
        <v>499.0</v>
      </c>
      <c r="I87" s="8">
        <v>0.1</v>
      </c>
      <c r="J87" s="8">
        <v>449.1</v>
      </c>
      <c r="K87" s="6" t="s">
        <v>27</v>
      </c>
      <c r="L87" s="8">
        <v>4.0</v>
      </c>
      <c r="M87" s="8">
        <v>32.0</v>
      </c>
      <c r="N87" s="6" t="s">
        <v>21</v>
      </c>
      <c r="O87" s="9"/>
    </row>
    <row r="88" ht="22.5" customHeight="1">
      <c r="A88" s="6" t="s">
        <v>207</v>
      </c>
      <c r="B88" s="6" t="s">
        <v>208</v>
      </c>
      <c r="C88" s="7">
        <v>46017.0</v>
      </c>
      <c r="D88" s="6" t="s">
        <v>24</v>
      </c>
      <c r="E88" s="6" t="s">
        <v>25</v>
      </c>
      <c r="F88" s="6" t="s">
        <v>19</v>
      </c>
      <c r="G88" s="8">
        <v>4.0</v>
      </c>
      <c r="H88" s="8">
        <v>199.0</v>
      </c>
      <c r="I88" s="8">
        <v>0.15</v>
      </c>
      <c r="J88" s="8">
        <v>676.6</v>
      </c>
      <c r="K88" s="6" t="s">
        <v>27</v>
      </c>
      <c r="L88" s="8">
        <v>3.8</v>
      </c>
      <c r="M88" s="8">
        <v>42.0</v>
      </c>
      <c r="N88" s="6" t="s">
        <v>21</v>
      </c>
      <c r="O88" s="9"/>
    </row>
    <row r="89" ht="22.5" customHeight="1">
      <c r="A89" s="6" t="s">
        <v>209</v>
      </c>
      <c r="B89" s="6" t="s">
        <v>210</v>
      </c>
      <c r="C89" s="7">
        <v>46018.0</v>
      </c>
      <c r="D89" s="6" t="s">
        <v>30</v>
      </c>
      <c r="E89" s="6" t="s">
        <v>70</v>
      </c>
      <c r="F89" s="6" t="s">
        <v>57</v>
      </c>
      <c r="G89" s="8">
        <v>3.0</v>
      </c>
      <c r="H89" s="8">
        <v>49.0</v>
      </c>
      <c r="I89" s="8">
        <v>0.03</v>
      </c>
      <c r="J89" s="8">
        <v>142.59</v>
      </c>
      <c r="K89" s="6" t="s">
        <v>20</v>
      </c>
      <c r="L89" s="8">
        <v>4.5</v>
      </c>
      <c r="M89" s="8">
        <v>33.0</v>
      </c>
      <c r="N89" s="6" t="s">
        <v>21</v>
      </c>
      <c r="O89" s="9"/>
    </row>
    <row r="90" ht="22.5" customHeight="1">
      <c r="A90" s="6" t="s">
        <v>211</v>
      </c>
      <c r="B90" s="6" t="s">
        <v>212</v>
      </c>
      <c r="C90" s="7">
        <v>46019.0</v>
      </c>
      <c r="D90" s="6" t="s">
        <v>17</v>
      </c>
      <c r="E90" s="6" t="s">
        <v>64</v>
      </c>
      <c r="F90" s="6" t="s">
        <v>26</v>
      </c>
      <c r="G90" s="8">
        <v>1.0</v>
      </c>
      <c r="H90" s="8">
        <v>199.0</v>
      </c>
      <c r="I90" s="8">
        <v>0.11</v>
      </c>
      <c r="J90" s="8">
        <v>177.11</v>
      </c>
      <c r="K90" s="6" t="s">
        <v>51</v>
      </c>
      <c r="L90" s="8">
        <v>4.9</v>
      </c>
      <c r="M90" s="8">
        <v>59.0</v>
      </c>
      <c r="N90" s="6" t="s">
        <v>21</v>
      </c>
      <c r="O90" s="9"/>
    </row>
    <row r="91" ht="22.5" customHeight="1">
      <c r="A91" s="6" t="s">
        <v>213</v>
      </c>
      <c r="B91" s="6" t="s">
        <v>214</v>
      </c>
      <c r="C91" s="7">
        <v>46020.0</v>
      </c>
      <c r="D91" s="6" t="s">
        <v>17</v>
      </c>
      <c r="E91" s="6" t="s">
        <v>18</v>
      </c>
      <c r="F91" s="6" t="s">
        <v>32</v>
      </c>
      <c r="G91" s="8">
        <v>1.0</v>
      </c>
      <c r="H91" s="8">
        <v>149.0</v>
      </c>
      <c r="I91" s="8">
        <v>0.04</v>
      </c>
      <c r="J91" s="8">
        <v>143.04</v>
      </c>
      <c r="K91" s="6" t="s">
        <v>27</v>
      </c>
      <c r="L91" s="8">
        <v>3.1</v>
      </c>
      <c r="M91" s="8">
        <v>24.0</v>
      </c>
      <c r="N91" s="6" t="s">
        <v>21</v>
      </c>
      <c r="O91" s="9"/>
    </row>
    <row r="92" ht="22.5" customHeight="1">
      <c r="A92" s="6" t="s">
        <v>215</v>
      </c>
      <c r="B92" s="6" t="s">
        <v>216</v>
      </c>
      <c r="C92" s="7">
        <v>46021.0</v>
      </c>
      <c r="D92" s="6" t="s">
        <v>17</v>
      </c>
      <c r="E92" s="6" t="s">
        <v>18</v>
      </c>
      <c r="F92" s="6" t="s">
        <v>37</v>
      </c>
      <c r="G92" s="8">
        <v>2.0</v>
      </c>
      <c r="H92" s="8">
        <v>999.0</v>
      </c>
      <c r="I92" s="8">
        <v>0.1</v>
      </c>
      <c r="J92" s="8">
        <v>1798.2</v>
      </c>
      <c r="K92" s="6" t="s">
        <v>33</v>
      </c>
      <c r="L92" s="8">
        <v>4.1</v>
      </c>
      <c r="M92" s="8">
        <v>40.0</v>
      </c>
      <c r="N92" s="6" t="s">
        <v>21</v>
      </c>
      <c r="O92" s="9"/>
    </row>
    <row r="93" ht="22.5" customHeight="1">
      <c r="A93" s="6" t="s">
        <v>217</v>
      </c>
      <c r="B93" s="6" t="s">
        <v>218</v>
      </c>
      <c r="C93" s="7">
        <v>46022.0</v>
      </c>
      <c r="D93" s="6" t="s">
        <v>24</v>
      </c>
      <c r="E93" s="6" t="s">
        <v>140</v>
      </c>
      <c r="F93" s="6" t="s">
        <v>57</v>
      </c>
      <c r="G93" s="8">
        <v>2.0</v>
      </c>
      <c r="H93" s="8">
        <v>699.0</v>
      </c>
      <c r="I93" s="8">
        <v>0.0</v>
      </c>
      <c r="J93" s="8">
        <v>1398.0</v>
      </c>
      <c r="K93" s="6" t="s">
        <v>33</v>
      </c>
      <c r="L93" s="8">
        <v>3.0</v>
      </c>
      <c r="M93" s="8">
        <v>37.0</v>
      </c>
      <c r="N93" s="6" t="s">
        <v>21</v>
      </c>
      <c r="O93" s="9"/>
    </row>
    <row r="94" ht="22.5" customHeight="1">
      <c r="A94" s="6" t="s">
        <v>219</v>
      </c>
      <c r="B94" s="6" t="s">
        <v>56</v>
      </c>
      <c r="C94" s="7">
        <v>46023.0</v>
      </c>
      <c r="D94" s="6" t="s">
        <v>17</v>
      </c>
      <c r="E94" s="6" t="s">
        <v>18</v>
      </c>
      <c r="F94" s="6" t="s">
        <v>32</v>
      </c>
      <c r="G94" s="8">
        <v>1.0</v>
      </c>
      <c r="H94" s="8">
        <v>1999.0</v>
      </c>
      <c r="I94" s="8">
        <v>0.1</v>
      </c>
      <c r="J94" s="8">
        <v>1799.1</v>
      </c>
      <c r="K94" s="10"/>
      <c r="L94" s="8">
        <v>4.9</v>
      </c>
      <c r="M94" s="8">
        <v>36.0</v>
      </c>
      <c r="N94" s="6" t="s">
        <v>21</v>
      </c>
      <c r="O94" s="9"/>
    </row>
    <row r="95" ht="22.5" customHeight="1">
      <c r="A95" s="6" t="s">
        <v>220</v>
      </c>
      <c r="B95" s="6" t="s">
        <v>221</v>
      </c>
      <c r="C95" s="7">
        <v>46024.0</v>
      </c>
      <c r="D95" s="6" t="s">
        <v>30</v>
      </c>
      <c r="E95" s="6" t="s">
        <v>70</v>
      </c>
      <c r="F95" s="6" t="s">
        <v>19</v>
      </c>
      <c r="G95" s="8">
        <v>1.0</v>
      </c>
      <c r="H95" s="8">
        <v>99.0</v>
      </c>
      <c r="I95" s="8">
        <v>0.13</v>
      </c>
      <c r="J95" s="8">
        <v>86.13</v>
      </c>
      <c r="K95" s="6" t="s">
        <v>20</v>
      </c>
      <c r="L95" s="8">
        <v>3.4</v>
      </c>
      <c r="M95" s="8">
        <v>44.0</v>
      </c>
      <c r="N95" s="6" t="s">
        <v>21</v>
      </c>
      <c r="O95" s="9"/>
    </row>
    <row r="96" ht="22.5" customHeight="1">
      <c r="A96" s="6" t="s">
        <v>222</v>
      </c>
      <c r="B96" s="6" t="s">
        <v>223</v>
      </c>
      <c r="C96" s="7">
        <v>46025.0</v>
      </c>
      <c r="D96" s="6" t="s">
        <v>30</v>
      </c>
      <c r="E96" s="6" t="s">
        <v>86</v>
      </c>
      <c r="F96" s="6" t="s">
        <v>32</v>
      </c>
      <c r="G96" s="8">
        <v>3.0</v>
      </c>
      <c r="H96" s="8">
        <v>299.0</v>
      </c>
      <c r="I96" s="8">
        <v>0.15</v>
      </c>
      <c r="J96" s="8">
        <v>762.45</v>
      </c>
      <c r="K96" s="6" t="s">
        <v>51</v>
      </c>
      <c r="L96" s="8">
        <v>5.0</v>
      </c>
      <c r="M96" s="8">
        <v>33.0</v>
      </c>
      <c r="N96" s="6" t="s">
        <v>21</v>
      </c>
      <c r="O96" s="9"/>
    </row>
    <row r="97" ht="22.5" customHeight="1">
      <c r="A97" s="6" t="s">
        <v>224</v>
      </c>
      <c r="B97" s="6" t="s">
        <v>225</v>
      </c>
      <c r="C97" s="7">
        <v>46026.0</v>
      </c>
      <c r="D97" s="6" t="s">
        <v>17</v>
      </c>
      <c r="E97" s="6" t="s">
        <v>64</v>
      </c>
      <c r="F97" s="6" t="s">
        <v>26</v>
      </c>
      <c r="G97" s="8">
        <v>1.0</v>
      </c>
      <c r="H97" s="8">
        <v>49.0</v>
      </c>
      <c r="I97" s="8">
        <v>0.06</v>
      </c>
      <c r="J97" s="8">
        <v>46.06</v>
      </c>
      <c r="K97" s="6" t="s">
        <v>27</v>
      </c>
      <c r="L97" s="8">
        <v>5.0</v>
      </c>
      <c r="M97" s="8">
        <v>46.0</v>
      </c>
      <c r="N97" s="6" t="s">
        <v>21</v>
      </c>
      <c r="O97" s="9"/>
    </row>
    <row r="98" ht="22.5" customHeight="1">
      <c r="A98" s="6" t="s">
        <v>226</v>
      </c>
      <c r="B98" s="6" t="s">
        <v>227</v>
      </c>
      <c r="C98" s="7">
        <v>46027.0</v>
      </c>
      <c r="D98" s="6" t="s">
        <v>24</v>
      </c>
      <c r="E98" s="6" t="s">
        <v>48</v>
      </c>
      <c r="F98" s="6" t="s">
        <v>32</v>
      </c>
      <c r="G98" s="8">
        <v>2.0</v>
      </c>
      <c r="H98" s="8">
        <v>299.0</v>
      </c>
      <c r="I98" s="8">
        <v>0.09</v>
      </c>
      <c r="J98" s="8">
        <v>544.18</v>
      </c>
      <c r="K98" s="6" t="s">
        <v>20</v>
      </c>
      <c r="L98" s="8">
        <v>3.8</v>
      </c>
      <c r="M98" s="8">
        <v>35.0</v>
      </c>
      <c r="N98" s="6" t="s">
        <v>21</v>
      </c>
      <c r="O98" s="9"/>
    </row>
    <row r="99" ht="22.5" customHeight="1">
      <c r="A99" s="6" t="s">
        <v>228</v>
      </c>
      <c r="B99" s="6" t="s">
        <v>229</v>
      </c>
      <c r="C99" s="7">
        <v>46028.0</v>
      </c>
      <c r="D99" s="6" t="s">
        <v>24</v>
      </c>
      <c r="E99" s="6" t="s">
        <v>140</v>
      </c>
      <c r="F99" s="6" t="s">
        <v>32</v>
      </c>
      <c r="G99" s="8">
        <v>2.0</v>
      </c>
      <c r="H99" s="8">
        <v>499.0</v>
      </c>
      <c r="I99" s="8">
        <v>0.07</v>
      </c>
      <c r="J99" s="8">
        <v>928.14</v>
      </c>
      <c r="K99" s="6" t="s">
        <v>27</v>
      </c>
      <c r="L99" s="8">
        <v>4.6</v>
      </c>
      <c r="M99" s="8">
        <v>33.0</v>
      </c>
      <c r="N99" s="6" t="s">
        <v>21</v>
      </c>
      <c r="O99" s="9"/>
    </row>
    <row r="100" ht="22.5" customHeight="1">
      <c r="A100" s="6" t="s">
        <v>230</v>
      </c>
      <c r="B100" s="6" t="s">
        <v>231</v>
      </c>
      <c r="C100" s="7">
        <v>46029.0</v>
      </c>
      <c r="D100" s="6" t="s">
        <v>30</v>
      </c>
      <c r="E100" s="6" t="s">
        <v>31</v>
      </c>
      <c r="F100" s="6" t="s">
        <v>65</v>
      </c>
      <c r="G100" s="8">
        <v>2.0</v>
      </c>
      <c r="H100" s="8">
        <v>699.0</v>
      </c>
      <c r="I100" s="8">
        <v>0.15</v>
      </c>
      <c r="J100" s="8">
        <v>1188.3</v>
      </c>
      <c r="K100" s="6" t="s">
        <v>33</v>
      </c>
      <c r="L100" s="8">
        <v>4.1</v>
      </c>
      <c r="M100" s="8">
        <v>25.0</v>
      </c>
      <c r="N100" s="6" t="s">
        <v>21</v>
      </c>
      <c r="O100" s="9"/>
    </row>
    <row r="101" ht="22.5" customHeight="1">
      <c r="A101" s="6" t="s">
        <v>232</v>
      </c>
      <c r="B101" s="6" t="s">
        <v>233</v>
      </c>
      <c r="C101" s="7">
        <v>46030.0</v>
      </c>
      <c r="D101" s="6" t="s">
        <v>17</v>
      </c>
      <c r="E101" s="6" t="s">
        <v>111</v>
      </c>
      <c r="F101" s="6" t="s">
        <v>65</v>
      </c>
      <c r="G101" s="8">
        <v>4.0</v>
      </c>
      <c r="H101" s="8">
        <v>999.0</v>
      </c>
      <c r="I101" s="8">
        <v>0.33</v>
      </c>
      <c r="J101" s="8">
        <v>2677.32</v>
      </c>
      <c r="K101" s="6" t="s">
        <v>51</v>
      </c>
      <c r="L101" s="8">
        <v>3.7</v>
      </c>
      <c r="M101" s="8">
        <v>48.0</v>
      </c>
      <c r="N101" s="6" t="s">
        <v>21</v>
      </c>
      <c r="O101" s="9"/>
    </row>
    <row r="102" ht="22.5" customHeight="1">
      <c r="A102" s="6" t="s">
        <v>234</v>
      </c>
      <c r="B102" s="6" t="s">
        <v>170</v>
      </c>
      <c r="C102" s="7">
        <v>46031.0</v>
      </c>
      <c r="D102" s="6" t="s">
        <v>30</v>
      </c>
      <c r="E102" s="10"/>
      <c r="F102" s="6" t="s">
        <v>37</v>
      </c>
      <c r="G102" s="8">
        <v>2.0</v>
      </c>
      <c r="H102" s="8">
        <v>1999.0</v>
      </c>
      <c r="I102" s="8">
        <v>0.0</v>
      </c>
      <c r="J102" s="8">
        <v>3998.0</v>
      </c>
      <c r="K102" s="6" t="s">
        <v>33</v>
      </c>
      <c r="L102" s="8">
        <v>4.4</v>
      </c>
      <c r="M102" s="8">
        <v>47.0</v>
      </c>
      <c r="N102" s="6" t="s">
        <v>21</v>
      </c>
      <c r="O102" s="9"/>
    </row>
    <row r="103" ht="22.5" customHeight="1">
      <c r="A103" s="6" t="s">
        <v>235</v>
      </c>
      <c r="B103" s="6" t="s">
        <v>59</v>
      </c>
      <c r="C103" s="7">
        <v>46032.0</v>
      </c>
      <c r="D103" s="6" t="s">
        <v>41</v>
      </c>
      <c r="E103" s="6" t="s">
        <v>54</v>
      </c>
      <c r="F103" s="6" t="s">
        <v>65</v>
      </c>
      <c r="G103" s="8">
        <v>1.0</v>
      </c>
      <c r="H103" s="8">
        <v>99.0</v>
      </c>
      <c r="I103" s="8">
        <v>0.19</v>
      </c>
      <c r="J103" s="8">
        <v>80.19</v>
      </c>
      <c r="K103" s="6" t="s">
        <v>33</v>
      </c>
      <c r="L103" s="8">
        <v>4.4</v>
      </c>
      <c r="M103" s="8">
        <v>36.0</v>
      </c>
      <c r="N103" s="6" t="s">
        <v>21</v>
      </c>
      <c r="O103" s="9"/>
    </row>
    <row r="104" ht="22.5" customHeight="1">
      <c r="A104" s="6" t="s">
        <v>236</v>
      </c>
      <c r="B104" s="6" t="s">
        <v>237</v>
      </c>
      <c r="C104" s="7">
        <v>46033.0</v>
      </c>
      <c r="D104" s="6" t="s">
        <v>41</v>
      </c>
      <c r="E104" s="6" t="s">
        <v>45</v>
      </c>
      <c r="F104" s="6" t="s">
        <v>57</v>
      </c>
      <c r="G104" s="8">
        <v>2.0</v>
      </c>
      <c r="H104" s="8">
        <v>149.0</v>
      </c>
      <c r="I104" s="8">
        <v>0.08</v>
      </c>
      <c r="J104" s="8">
        <v>274.16</v>
      </c>
      <c r="K104" s="6" t="s">
        <v>27</v>
      </c>
      <c r="L104" s="8">
        <v>3.2</v>
      </c>
      <c r="M104" s="8">
        <v>43.0</v>
      </c>
      <c r="N104" s="6" t="s">
        <v>21</v>
      </c>
      <c r="O104" s="9"/>
    </row>
    <row r="105" ht="22.5" customHeight="1">
      <c r="A105" s="6" t="s">
        <v>238</v>
      </c>
      <c r="B105" s="6" t="s">
        <v>239</v>
      </c>
      <c r="C105" s="7">
        <v>46034.0</v>
      </c>
      <c r="D105" s="6" t="s">
        <v>41</v>
      </c>
      <c r="E105" s="6" t="s">
        <v>54</v>
      </c>
      <c r="F105" s="6" t="s">
        <v>65</v>
      </c>
      <c r="G105" s="8">
        <v>3.0</v>
      </c>
      <c r="H105" s="8">
        <v>999.0</v>
      </c>
      <c r="I105" s="8">
        <v>0.09</v>
      </c>
      <c r="J105" s="8">
        <v>2727.27</v>
      </c>
      <c r="K105" s="6" t="s">
        <v>51</v>
      </c>
      <c r="L105" s="8">
        <v>2.4</v>
      </c>
      <c r="M105" s="8">
        <v>44.0</v>
      </c>
      <c r="N105" s="6" t="s">
        <v>21</v>
      </c>
      <c r="O105" s="9"/>
    </row>
    <row r="106" ht="22.5" customHeight="1">
      <c r="A106" s="6" t="s">
        <v>240</v>
      </c>
      <c r="B106" s="6" t="s">
        <v>241</v>
      </c>
      <c r="C106" s="7">
        <v>46035.0</v>
      </c>
      <c r="D106" s="6" t="s">
        <v>24</v>
      </c>
      <c r="E106" s="6" t="s">
        <v>140</v>
      </c>
      <c r="F106" s="6" t="s">
        <v>57</v>
      </c>
      <c r="G106" s="8">
        <v>1.0</v>
      </c>
      <c r="H106" s="8">
        <v>249.0</v>
      </c>
      <c r="I106" s="8">
        <v>0.11</v>
      </c>
      <c r="J106" s="8">
        <v>221.61</v>
      </c>
      <c r="K106" s="6" t="s">
        <v>20</v>
      </c>
      <c r="L106" s="8">
        <v>4.6</v>
      </c>
      <c r="M106" s="8">
        <v>35.0</v>
      </c>
      <c r="N106" s="6" t="s">
        <v>21</v>
      </c>
      <c r="O106" s="9"/>
    </row>
    <row r="107" ht="22.5" customHeight="1">
      <c r="A107" s="6" t="s">
        <v>242</v>
      </c>
      <c r="B107" s="6" t="s">
        <v>243</v>
      </c>
      <c r="C107" s="7">
        <v>46036.0</v>
      </c>
      <c r="D107" s="6" t="s">
        <v>30</v>
      </c>
      <c r="E107" s="6" t="s">
        <v>36</v>
      </c>
      <c r="F107" s="6" t="s">
        <v>37</v>
      </c>
      <c r="G107" s="8">
        <v>5.0</v>
      </c>
      <c r="H107" s="8">
        <v>999.0</v>
      </c>
      <c r="I107" s="8">
        <v>0.12</v>
      </c>
      <c r="J107" s="8">
        <v>4395.6</v>
      </c>
      <c r="K107" s="6" t="s">
        <v>51</v>
      </c>
      <c r="L107" s="8">
        <v>5.0</v>
      </c>
      <c r="M107" s="8">
        <v>24.0</v>
      </c>
      <c r="N107" s="6" t="s">
        <v>21</v>
      </c>
      <c r="O107" s="9"/>
    </row>
    <row r="108" ht="22.5" customHeight="1">
      <c r="A108" s="6" t="s">
        <v>244</v>
      </c>
      <c r="B108" s="6" t="s">
        <v>245</v>
      </c>
      <c r="C108" s="7">
        <v>46037.0</v>
      </c>
      <c r="D108" s="6" t="s">
        <v>24</v>
      </c>
      <c r="E108" s="6" t="s">
        <v>48</v>
      </c>
      <c r="F108" s="6" t="s">
        <v>26</v>
      </c>
      <c r="G108" s="8">
        <v>4.0</v>
      </c>
      <c r="H108" s="8">
        <v>1499.0</v>
      </c>
      <c r="I108" s="8">
        <v>0.08</v>
      </c>
      <c r="J108" s="8">
        <v>5516.32</v>
      </c>
      <c r="K108" s="6" t="s">
        <v>33</v>
      </c>
      <c r="L108" s="8">
        <v>4.7</v>
      </c>
      <c r="M108" s="8">
        <v>35.0</v>
      </c>
      <c r="N108" s="6" t="s">
        <v>21</v>
      </c>
      <c r="O108" s="9"/>
    </row>
    <row r="109" ht="22.5" customHeight="1">
      <c r="A109" s="6" t="s">
        <v>246</v>
      </c>
      <c r="B109" s="6" t="s">
        <v>247</v>
      </c>
      <c r="C109" s="7">
        <v>46038.0</v>
      </c>
      <c r="D109" s="6" t="s">
        <v>30</v>
      </c>
      <c r="E109" s="6" t="s">
        <v>86</v>
      </c>
      <c r="F109" s="6" t="s">
        <v>57</v>
      </c>
      <c r="G109" s="8">
        <v>1.0</v>
      </c>
      <c r="H109" s="8">
        <v>149.0</v>
      </c>
      <c r="I109" s="8">
        <v>0.08</v>
      </c>
      <c r="J109" s="8">
        <v>137.08</v>
      </c>
      <c r="K109" s="6" t="s">
        <v>51</v>
      </c>
      <c r="L109" s="8">
        <v>5.0</v>
      </c>
      <c r="M109" s="8">
        <v>46.0</v>
      </c>
      <c r="N109" s="6" t="s">
        <v>21</v>
      </c>
      <c r="O109" s="9"/>
    </row>
    <row r="110" ht="22.5" customHeight="1">
      <c r="A110" s="6" t="s">
        <v>248</v>
      </c>
      <c r="B110" s="6" t="s">
        <v>249</v>
      </c>
      <c r="C110" s="7">
        <v>46039.0</v>
      </c>
      <c r="D110" s="6" t="s">
        <v>30</v>
      </c>
      <c r="E110" s="6" t="s">
        <v>70</v>
      </c>
      <c r="F110" s="6" t="s">
        <v>19</v>
      </c>
      <c r="G110" s="8">
        <v>1.0</v>
      </c>
      <c r="H110" s="8">
        <v>1999.0</v>
      </c>
      <c r="I110" s="8">
        <v>0.16</v>
      </c>
      <c r="J110" s="8">
        <v>1679.16</v>
      </c>
      <c r="K110" s="6" t="s">
        <v>20</v>
      </c>
      <c r="L110" s="8">
        <v>3.1</v>
      </c>
      <c r="M110" s="8">
        <v>25.0</v>
      </c>
      <c r="N110" s="6" t="s">
        <v>21</v>
      </c>
      <c r="O110" s="9"/>
    </row>
    <row r="111" ht="22.5" customHeight="1">
      <c r="A111" s="6" t="s">
        <v>250</v>
      </c>
      <c r="B111" s="6" t="s">
        <v>174</v>
      </c>
      <c r="C111" s="7">
        <v>46040.0</v>
      </c>
      <c r="D111" s="6" t="s">
        <v>41</v>
      </c>
      <c r="E111" s="6" t="s">
        <v>45</v>
      </c>
      <c r="F111" s="6" t="s">
        <v>65</v>
      </c>
      <c r="G111" s="8">
        <v>1.0</v>
      </c>
      <c r="H111" s="8">
        <v>199.0</v>
      </c>
      <c r="I111" s="8">
        <v>0.04</v>
      </c>
      <c r="J111" s="8">
        <v>191.04</v>
      </c>
      <c r="K111" s="6" t="s">
        <v>27</v>
      </c>
      <c r="L111" s="8">
        <v>3.0</v>
      </c>
      <c r="M111" s="8">
        <v>39.0</v>
      </c>
      <c r="N111" s="6" t="s">
        <v>21</v>
      </c>
      <c r="O111" s="9"/>
    </row>
    <row r="112" ht="22.5" customHeight="1">
      <c r="A112" s="6" t="s">
        <v>251</v>
      </c>
      <c r="B112" s="6" t="s">
        <v>252</v>
      </c>
      <c r="C112" s="7">
        <v>46041.0</v>
      </c>
      <c r="D112" s="6" t="s">
        <v>41</v>
      </c>
      <c r="E112" s="6" t="s">
        <v>45</v>
      </c>
      <c r="F112" s="6" t="s">
        <v>57</v>
      </c>
      <c r="G112" s="8">
        <v>4.0</v>
      </c>
      <c r="H112" s="8">
        <v>99.0</v>
      </c>
      <c r="I112" s="8">
        <v>0.18</v>
      </c>
      <c r="J112" s="8">
        <v>324.72</v>
      </c>
      <c r="K112" s="6" t="s">
        <v>20</v>
      </c>
      <c r="L112" s="8">
        <v>3.6</v>
      </c>
      <c r="M112" s="8">
        <v>51.0</v>
      </c>
      <c r="N112" s="6" t="s">
        <v>21</v>
      </c>
      <c r="O112" s="9"/>
    </row>
    <row r="113" ht="22.5" customHeight="1">
      <c r="A113" s="6" t="s">
        <v>253</v>
      </c>
      <c r="B113" s="6" t="s">
        <v>205</v>
      </c>
      <c r="C113" s="7">
        <v>46042.0</v>
      </c>
      <c r="D113" s="6" t="s">
        <v>30</v>
      </c>
      <c r="E113" s="6" t="s">
        <v>70</v>
      </c>
      <c r="F113" s="6" t="s">
        <v>57</v>
      </c>
      <c r="G113" s="8">
        <v>1.0</v>
      </c>
      <c r="H113" s="8">
        <v>499.0</v>
      </c>
      <c r="I113" s="8">
        <v>0.2</v>
      </c>
      <c r="J113" s="8">
        <v>399.2</v>
      </c>
      <c r="K113" s="6" t="s">
        <v>33</v>
      </c>
      <c r="L113" s="8">
        <v>4.0</v>
      </c>
      <c r="M113" s="8">
        <v>25.0</v>
      </c>
      <c r="N113" s="6" t="s">
        <v>21</v>
      </c>
      <c r="O113" s="9"/>
    </row>
    <row r="114" ht="22.5" customHeight="1">
      <c r="A114" s="6" t="s">
        <v>254</v>
      </c>
      <c r="B114" s="6" t="s">
        <v>255</v>
      </c>
      <c r="C114" s="7">
        <v>46043.0</v>
      </c>
      <c r="D114" s="6" t="s">
        <v>41</v>
      </c>
      <c r="E114" s="6" t="s">
        <v>54</v>
      </c>
      <c r="F114" s="6" t="s">
        <v>26</v>
      </c>
      <c r="G114" s="8">
        <v>1.0</v>
      </c>
      <c r="H114" s="8">
        <v>199.0</v>
      </c>
      <c r="I114" s="8">
        <v>0.12</v>
      </c>
      <c r="J114" s="8">
        <v>175.12</v>
      </c>
      <c r="K114" s="6" t="s">
        <v>51</v>
      </c>
      <c r="L114" s="8">
        <v>4.6</v>
      </c>
      <c r="M114" s="8">
        <v>23.0</v>
      </c>
      <c r="N114" s="6" t="s">
        <v>21</v>
      </c>
      <c r="O114" s="9"/>
    </row>
    <row r="115" ht="22.5" customHeight="1">
      <c r="A115" s="6" t="s">
        <v>256</v>
      </c>
      <c r="B115" s="6" t="s">
        <v>257</v>
      </c>
      <c r="C115" s="7">
        <v>46044.0</v>
      </c>
      <c r="D115" s="6" t="s">
        <v>24</v>
      </c>
      <c r="E115" s="6" t="s">
        <v>140</v>
      </c>
      <c r="F115" s="6" t="s">
        <v>37</v>
      </c>
      <c r="G115" s="8">
        <v>6.0</v>
      </c>
      <c r="H115" s="8">
        <v>499.0</v>
      </c>
      <c r="I115" s="8">
        <v>0.11</v>
      </c>
      <c r="J115" s="8">
        <v>2664.66</v>
      </c>
      <c r="K115" s="6" t="s">
        <v>20</v>
      </c>
      <c r="L115" s="8">
        <v>5.0</v>
      </c>
      <c r="M115" s="8">
        <v>34.0</v>
      </c>
      <c r="N115" s="6" t="s">
        <v>21</v>
      </c>
      <c r="O115" s="9"/>
    </row>
    <row r="116" ht="22.5" customHeight="1">
      <c r="A116" s="6" t="s">
        <v>258</v>
      </c>
      <c r="B116" s="6" t="s">
        <v>259</v>
      </c>
      <c r="C116" s="7">
        <v>46045.0</v>
      </c>
      <c r="D116" s="6" t="s">
        <v>30</v>
      </c>
      <c r="E116" s="6" t="s">
        <v>31</v>
      </c>
      <c r="F116" s="6" t="s">
        <v>19</v>
      </c>
      <c r="G116" s="8">
        <v>1.0</v>
      </c>
      <c r="H116" s="8">
        <v>699.0</v>
      </c>
      <c r="I116" s="8">
        <v>0.16</v>
      </c>
      <c r="J116" s="8">
        <v>587.16</v>
      </c>
      <c r="K116" s="6" t="s">
        <v>27</v>
      </c>
      <c r="L116" s="8">
        <v>4.9</v>
      </c>
      <c r="M116" s="8">
        <v>45.0</v>
      </c>
      <c r="N116" s="6" t="s">
        <v>21</v>
      </c>
      <c r="O116" s="9"/>
    </row>
    <row r="117" ht="22.5" customHeight="1">
      <c r="A117" s="6" t="s">
        <v>260</v>
      </c>
      <c r="B117" s="6" t="s">
        <v>261</v>
      </c>
      <c r="C117" s="7">
        <v>46046.0</v>
      </c>
      <c r="D117" s="6" t="s">
        <v>24</v>
      </c>
      <c r="E117" s="6" t="s">
        <v>48</v>
      </c>
      <c r="F117" s="6" t="s">
        <v>57</v>
      </c>
      <c r="G117" s="8">
        <v>3.0</v>
      </c>
      <c r="H117" s="8">
        <v>149.0</v>
      </c>
      <c r="I117" s="8">
        <v>0.15</v>
      </c>
      <c r="J117" s="8">
        <v>379.95</v>
      </c>
      <c r="K117" s="6" t="s">
        <v>51</v>
      </c>
      <c r="L117" s="8">
        <v>3.6</v>
      </c>
      <c r="M117" s="8">
        <v>44.0</v>
      </c>
      <c r="N117" s="6" t="s">
        <v>21</v>
      </c>
      <c r="O117" s="9"/>
    </row>
    <row r="118" ht="22.5" customHeight="1">
      <c r="A118" s="6" t="s">
        <v>262</v>
      </c>
      <c r="B118" s="6" t="s">
        <v>263</v>
      </c>
      <c r="C118" s="7">
        <v>46047.0</v>
      </c>
      <c r="D118" s="6" t="s">
        <v>24</v>
      </c>
      <c r="E118" s="6" t="s">
        <v>48</v>
      </c>
      <c r="F118" s="6" t="s">
        <v>26</v>
      </c>
      <c r="G118" s="8">
        <v>1.0</v>
      </c>
      <c r="H118" s="8">
        <v>499.0</v>
      </c>
      <c r="I118" s="8">
        <v>0.05</v>
      </c>
      <c r="J118" s="8">
        <v>474.05</v>
      </c>
      <c r="K118" s="6" t="s">
        <v>20</v>
      </c>
      <c r="L118" s="8">
        <v>4.3</v>
      </c>
      <c r="M118" s="8">
        <v>36.0</v>
      </c>
      <c r="N118" s="6" t="s">
        <v>21</v>
      </c>
      <c r="O118" s="9"/>
    </row>
    <row r="119" ht="22.5" customHeight="1">
      <c r="A119" s="6" t="s">
        <v>264</v>
      </c>
      <c r="B119" s="6" t="s">
        <v>265</v>
      </c>
      <c r="C119" s="7">
        <v>46048.0</v>
      </c>
      <c r="D119" s="6" t="s">
        <v>17</v>
      </c>
      <c r="E119" s="6" t="s">
        <v>75</v>
      </c>
      <c r="F119" s="6" t="s">
        <v>32</v>
      </c>
      <c r="G119" s="8">
        <v>1.0</v>
      </c>
      <c r="H119" s="8">
        <v>299.0</v>
      </c>
      <c r="I119" s="8">
        <v>0.23</v>
      </c>
      <c r="J119" s="8">
        <v>230.23</v>
      </c>
      <c r="K119" s="6" t="s">
        <v>27</v>
      </c>
      <c r="L119" s="8">
        <v>3.2</v>
      </c>
      <c r="M119" s="8">
        <v>46.0</v>
      </c>
      <c r="N119" s="6" t="s">
        <v>21</v>
      </c>
      <c r="O119" s="9"/>
    </row>
    <row r="120" ht="22.5" customHeight="1">
      <c r="A120" s="6" t="s">
        <v>266</v>
      </c>
      <c r="B120" s="6" t="s">
        <v>267</v>
      </c>
      <c r="C120" s="7">
        <v>46049.0</v>
      </c>
      <c r="D120" s="6" t="s">
        <v>41</v>
      </c>
      <c r="E120" s="6" t="s">
        <v>42</v>
      </c>
      <c r="F120" s="6" t="s">
        <v>57</v>
      </c>
      <c r="G120" s="8">
        <v>3.0</v>
      </c>
      <c r="H120" s="8">
        <v>249.0</v>
      </c>
      <c r="I120" s="8">
        <v>0.09</v>
      </c>
      <c r="J120" s="8">
        <v>679.77</v>
      </c>
      <c r="K120" s="6" t="s">
        <v>27</v>
      </c>
      <c r="L120" s="8">
        <v>4.1</v>
      </c>
      <c r="M120" s="8">
        <v>33.0</v>
      </c>
      <c r="N120" s="6" t="s">
        <v>21</v>
      </c>
      <c r="O120" s="9"/>
    </row>
    <row r="121" ht="22.5" customHeight="1">
      <c r="A121" s="6" t="s">
        <v>268</v>
      </c>
      <c r="B121" s="6" t="s">
        <v>269</v>
      </c>
      <c r="C121" s="7">
        <v>46050.0</v>
      </c>
      <c r="D121" s="6" t="s">
        <v>17</v>
      </c>
      <c r="E121" s="6" t="s">
        <v>64</v>
      </c>
      <c r="F121" s="6" t="s">
        <v>19</v>
      </c>
      <c r="G121" s="8">
        <v>5.0</v>
      </c>
      <c r="H121" s="8">
        <v>149.0</v>
      </c>
      <c r="I121" s="8">
        <v>0.15</v>
      </c>
      <c r="J121" s="8">
        <v>633.25</v>
      </c>
      <c r="K121" s="6" t="s">
        <v>33</v>
      </c>
      <c r="L121" s="8">
        <v>4.1</v>
      </c>
      <c r="M121" s="8">
        <v>43.0</v>
      </c>
      <c r="N121" s="6" t="s">
        <v>21</v>
      </c>
      <c r="O121" s="9"/>
    </row>
    <row r="122" ht="22.5" customHeight="1">
      <c r="A122" s="6" t="s">
        <v>270</v>
      </c>
      <c r="B122" s="6" t="s">
        <v>271</v>
      </c>
      <c r="C122" s="7">
        <v>46051.0</v>
      </c>
      <c r="D122" s="6" t="s">
        <v>41</v>
      </c>
      <c r="E122" s="6" t="s">
        <v>42</v>
      </c>
      <c r="F122" s="6" t="s">
        <v>19</v>
      </c>
      <c r="G122" s="8">
        <v>4.0</v>
      </c>
      <c r="H122" s="8">
        <v>499.0</v>
      </c>
      <c r="I122" s="8">
        <v>0.08</v>
      </c>
      <c r="J122" s="8">
        <v>1836.32</v>
      </c>
      <c r="K122" s="6" t="s">
        <v>33</v>
      </c>
      <c r="L122" s="8">
        <v>3.6</v>
      </c>
      <c r="M122" s="8">
        <v>36.0</v>
      </c>
      <c r="N122" s="6" t="s">
        <v>21</v>
      </c>
      <c r="O122" s="9"/>
    </row>
    <row r="123" ht="22.5" customHeight="1">
      <c r="A123" s="6" t="s">
        <v>272</v>
      </c>
      <c r="B123" s="6" t="s">
        <v>273</v>
      </c>
      <c r="C123" s="7">
        <v>46052.0</v>
      </c>
      <c r="D123" s="6" t="s">
        <v>30</v>
      </c>
      <c r="E123" s="6" t="s">
        <v>36</v>
      </c>
      <c r="F123" s="6" t="s">
        <v>57</v>
      </c>
      <c r="G123" s="8">
        <v>1.0</v>
      </c>
      <c r="H123" s="8">
        <v>699.0</v>
      </c>
      <c r="I123" s="8">
        <v>0.04</v>
      </c>
      <c r="J123" s="8">
        <v>671.04</v>
      </c>
      <c r="K123" s="6" t="s">
        <v>27</v>
      </c>
      <c r="L123" s="8">
        <v>4.6</v>
      </c>
      <c r="M123" s="8">
        <v>31.0</v>
      </c>
      <c r="N123" s="6" t="s">
        <v>21</v>
      </c>
      <c r="O123" s="9"/>
    </row>
    <row r="124" ht="22.5" customHeight="1">
      <c r="A124" s="6" t="s">
        <v>274</v>
      </c>
      <c r="B124" s="6" t="s">
        <v>241</v>
      </c>
      <c r="C124" s="7">
        <v>46053.0</v>
      </c>
      <c r="D124" s="6" t="s">
        <v>24</v>
      </c>
      <c r="E124" s="6" t="s">
        <v>25</v>
      </c>
      <c r="F124" s="6" t="s">
        <v>19</v>
      </c>
      <c r="G124" s="8">
        <v>3.0</v>
      </c>
      <c r="H124" s="8">
        <v>499.0</v>
      </c>
      <c r="I124" s="8">
        <v>0.07</v>
      </c>
      <c r="J124" s="8">
        <v>1392.21</v>
      </c>
      <c r="K124" s="6" t="s">
        <v>33</v>
      </c>
      <c r="L124" s="8">
        <v>4.0</v>
      </c>
      <c r="M124" s="8">
        <v>42.0</v>
      </c>
      <c r="N124" s="6" t="s">
        <v>21</v>
      </c>
      <c r="O124" s="9"/>
    </row>
    <row r="125" ht="22.5" customHeight="1">
      <c r="A125" s="6" t="s">
        <v>275</v>
      </c>
      <c r="B125" s="6" t="s">
        <v>276</v>
      </c>
      <c r="C125" s="7">
        <v>46054.0</v>
      </c>
      <c r="D125" s="6" t="s">
        <v>24</v>
      </c>
      <c r="E125" s="6" t="s">
        <v>25</v>
      </c>
      <c r="F125" s="6" t="s">
        <v>19</v>
      </c>
      <c r="G125" s="8">
        <v>1.0</v>
      </c>
      <c r="H125" s="8">
        <v>299.0</v>
      </c>
      <c r="I125" s="8">
        <v>0.0</v>
      </c>
      <c r="J125" s="8">
        <v>299.0</v>
      </c>
      <c r="K125" s="6" t="s">
        <v>27</v>
      </c>
      <c r="L125" s="8">
        <v>4.1</v>
      </c>
      <c r="M125" s="8">
        <v>53.0</v>
      </c>
      <c r="N125" s="6" t="s">
        <v>21</v>
      </c>
      <c r="O125" s="9"/>
    </row>
    <row r="126" ht="22.5" customHeight="1">
      <c r="A126" s="6" t="s">
        <v>277</v>
      </c>
      <c r="B126" s="6" t="s">
        <v>278</v>
      </c>
      <c r="C126" s="7">
        <v>46055.0</v>
      </c>
      <c r="D126" s="6" t="s">
        <v>41</v>
      </c>
      <c r="E126" s="6" t="s">
        <v>45</v>
      </c>
      <c r="F126" s="6" t="s">
        <v>32</v>
      </c>
      <c r="G126" s="8">
        <v>1.0</v>
      </c>
      <c r="H126" s="8">
        <v>1999.0</v>
      </c>
      <c r="I126" s="8">
        <v>0.1</v>
      </c>
      <c r="J126" s="8">
        <v>1799.1</v>
      </c>
      <c r="K126" s="6" t="s">
        <v>20</v>
      </c>
      <c r="L126" s="8">
        <v>4.2</v>
      </c>
      <c r="M126" s="8">
        <v>18.0</v>
      </c>
      <c r="N126" s="6" t="s">
        <v>21</v>
      </c>
      <c r="O126" s="9"/>
    </row>
    <row r="127" ht="22.5" customHeight="1">
      <c r="A127" s="6" t="s">
        <v>279</v>
      </c>
      <c r="B127" s="6" t="s">
        <v>280</v>
      </c>
      <c r="C127" s="7">
        <v>46056.0</v>
      </c>
      <c r="D127" s="6" t="s">
        <v>41</v>
      </c>
      <c r="E127" s="6" t="s">
        <v>54</v>
      </c>
      <c r="F127" s="6" t="s">
        <v>57</v>
      </c>
      <c r="G127" s="8">
        <v>2.0</v>
      </c>
      <c r="H127" s="8">
        <v>299.0</v>
      </c>
      <c r="I127" s="8">
        <v>0.09</v>
      </c>
      <c r="J127" s="8">
        <v>544.18</v>
      </c>
      <c r="K127" s="6" t="s">
        <v>33</v>
      </c>
      <c r="L127" s="8">
        <v>3.1</v>
      </c>
      <c r="M127" s="8">
        <v>24.0</v>
      </c>
      <c r="N127" s="6" t="s">
        <v>21</v>
      </c>
      <c r="O127" s="9"/>
    </row>
    <row r="128" ht="22.5" customHeight="1">
      <c r="A128" s="6" t="s">
        <v>281</v>
      </c>
      <c r="B128" s="6" t="s">
        <v>282</v>
      </c>
      <c r="C128" s="7">
        <v>46057.0</v>
      </c>
      <c r="D128" s="6" t="s">
        <v>24</v>
      </c>
      <c r="E128" s="6" t="s">
        <v>25</v>
      </c>
      <c r="F128" s="6" t="s">
        <v>19</v>
      </c>
      <c r="G128" s="8">
        <v>4.0</v>
      </c>
      <c r="H128" s="8">
        <v>299.0</v>
      </c>
      <c r="I128" s="8">
        <v>0.18</v>
      </c>
      <c r="J128" s="8">
        <v>980.72</v>
      </c>
      <c r="K128" s="6" t="s">
        <v>51</v>
      </c>
      <c r="L128" s="8">
        <v>4.6</v>
      </c>
      <c r="M128" s="8">
        <v>36.0</v>
      </c>
      <c r="N128" s="6" t="s">
        <v>38</v>
      </c>
      <c r="O128" s="9"/>
    </row>
    <row r="129" ht="22.5" customHeight="1">
      <c r="A129" s="6" t="s">
        <v>283</v>
      </c>
      <c r="B129" s="6" t="s">
        <v>284</v>
      </c>
      <c r="C129" s="7">
        <v>46058.0</v>
      </c>
      <c r="D129" s="6" t="s">
        <v>41</v>
      </c>
      <c r="E129" s="6" t="s">
        <v>94</v>
      </c>
      <c r="F129" s="6" t="s">
        <v>65</v>
      </c>
      <c r="G129" s="8">
        <v>7.0</v>
      </c>
      <c r="H129" s="8">
        <v>199.0</v>
      </c>
      <c r="I129" s="8">
        <v>0.17</v>
      </c>
      <c r="J129" s="8">
        <v>1156.19</v>
      </c>
      <c r="K129" s="6" t="s">
        <v>33</v>
      </c>
      <c r="L129" s="8">
        <v>3.9</v>
      </c>
      <c r="M129" s="8">
        <v>44.0</v>
      </c>
      <c r="N129" s="6" t="s">
        <v>21</v>
      </c>
      <c r="O129" s="9"/>
    </row>
    <row r="130" ht="22.5" customHeight="1">
      <c r="A130" s="6" t="s">
        <v>285</v>
      </c>
      <c r="B130" s="6" t="s">
        <v>286</v>
      </c>
      <c r="C130" s="7">
        <v>46059.0</v>
      </c>
      <c r="D130" s="6" t="s">
        <v>17</v>
      </c>
      <c r="E130" s="6" t="s">
        <v>64</v>
      </c>
      <c r="F130" s="6" t="s">
        <v>37</v>
      </c>
      <c r="G130" s="8">
        <v>1.0</v>
      </c>
      <c r="H130" s="8">
        <v>699.0</v>
      </c>
      <c r="I130" s="8">
        <v>0.11</v>
      </c>
      <c r="J130" s="8">
        <v>622.11</v>
      </c>
      <c r="K130" s="6" t="s">
        <v>33</v>
      </c>
      <c r="L130" s="8">
        <v>4.6</v>
      </c>
      <c r="M130" s="8">
        <v>45.0</v>
      </c>
      <c r="N130" s="6" t="s">
        <v>21</v>
      </c>
      <c r="O130" s="9"/>
    </row>
    <row r="131" ht="22.5" customHeight="1">
      <c r="A131" s="6" t="s">
        <v>287</v>
      </c>
      <c r="B131" s="6" t="s">
        <v>288</v>
      </c>
      <c r="C131" s="7">
        <v>46060.0</v>
      </c>
      <c r="D131" s="6" t="s">
        <v>17</v>
      </c>
      <c r="E131" s="6" t="s">
        <v>64</v>
      </c>
      <c r="F131" s="6" t="s">
        <v>26</v>
      </c>
      <c r="G131" s="8">
        <v>2.0</v>
      </c>
      <c r="H131" s="8">
        <v>49.0</v>
      </c>
      <c r="I131" s="8">
        <v>0.16</v>
      </c>
      <c r="J131" s="8">
        <v>82.32</v>
      </c>
      <c r="K131" s="6" t="s">
        <v>27</v>
      </c>
      <c r="L131" s="8">
        <v>3.1</v>
      </c>
      <c r="M131" s="8">
        <v>58.0</v>
      </c>
      <c r="N131" s="6" t="s">
        <v>21</v>
      </c>
      <c r="O131" s="9"/>
    </row>
    <row r="132" ht="22.5" customHeight="1">
      <c r="A132" s="6" t="s">
        <v>289</v>
      </c>
      <c r="B132" s="6" t="s">
        <v>190</v>
      </c>
      <c r="C132" s="7">
        <v>46061.0</v>
      </c>
      <c r="D132" s="6" t="s">
        <v>41</v>
      </c>
      <c r="E132" s="6" t="s">
        <v>94</v>
      </c>
      <c r="F132" s="6" t="s">
        <v>57</v>
      </c>
      <c r="G132" s="8">
        <v>2.0</v>
      </c>
      <c r="H132" s="8">
        <v>99.0</v>
      </c>
      <c r="I132" s="8">
        <v>0.07</v>
      </c>
      <c r="J132" s="8">
        <v>184.14</v>
      </c>
      <c r="K132" s="6" t="s">
        <v>33</v>
      </c>
      <c r="L132" s="8">
        <v>3.0</v>
      </c>
      <c r="M132" s="8">
        <v>45.0</v>
      </c>
      <c r="N132" s="6" t="s">
        <v>21</v>
      </c>
      <c r="O132" s="9"/>
    </row>
    <row r="133" ht="22.5" customHeight="1">
      <c r="A133" s="6" t="s">
        <v>290</v>
      </c>
      <c r="B133" s="6" t="s">
        <v>291</v>
      </c>
      <c r="C133" s="7">
        <v>46062.0</v>
      </c>
      <c r="D133" s="6" t="s">
        <v>30</v>
      </c>
      <c r="E133" s="6" t="s">
        <v>31</v>
      </c>
      <c r="F133" s="6" t="s">
        <v>19</v>
      </c>
      <c r="G133" s="8">
        <v>1.0</v>
      </c>
      <c r="H133" s="8">
        <v>499.0</v>
      </c>
      <c r="I133" s="8">
        <v>0.29</v>
      </c>
      <c r="J133" s="8">
        <v>354.29</v>
      </c>
      <c r="K133" s="6" t="s">
        <v>33</v>
      </c>
      <c r="L133" s="8">
        <v>4.2</v>
      </c>
      <c r="M133" s="8">
        <v>48.0</v>
      </c>
      <c r="N133" s="6" t="s">
        <v>21</v>
      </c>
      <c r="O133" s="9"/>
    </row>
    <row r="134" ht="22.5" customHeight="1">
      <c r="A134" s="6" t="s">
        <v>292</v>
      </c>
      <c r="B134" s="6" t="s">
        <v>164</v>
      </c>
      <c r="C134" s="7">
        <v>46063.0</v>
      </c>
      <c r="D134" s="6" t="s">
        <v>17</v>
      </c>
      <c r="E134" s="6" t="s">
        <v>64</v>
      </c>
      <c r="F134" s="6" t="s">
        <v>19</v>
      </c>
      <c r="G134" s="8">
        <v>2.0</v>
      </c>
      <c r="H134" s="8">
        <v>1499.0</v>
      </c>
      <c r="I134" s="8">
        <v>0.14</v>
      </c>
      <c r="J134" s="8">
        <v>2578.28</v>
      </c>
      <c r="K134" s="6" t="s">
        <v>27</v>
      </c>
      <c r="L134" s="8">
        <v>4.8</v>
      </c>
      <c r="M134" s="8">
        <v>43.0</v>
      </c>
      <c r="N134" s="6" t="s">
        <v>21</v>
      </c>
      <c r="O134" s="9"/>
    </row>
    <row r="135" ht="22.5" customHeight="1">
      <c r="A135" s="6" t="s">
        <v>293</v>
      </c>
      <c r="B135" s="6" t="s">
        <v>77</v>
      </c>
      <c r="C135" s="7">
        <v>46064.0</v>
      </c>
      <c r="D135" s="6" t="s">
        <v>41</v>
      </c>
      <c r="E135" s="6" t="s">
        <v>45</v>
      </c>
      <c r="F135" s="6" t="s">
        <v>32</v>
      </c>
      <c r="G135" s="8">
        <v>3.0</v>
      </c>
      <c r="H135" s="8">
        <v>249.0</v>
      </c>
      <c r="I135" s="8">
        <v>0.08</v>
      </c>
      <c r="J135" s="8">
        <v>687.24</v>
      </c>
      <c r="K135" s="6" t="s">
        <v>20</v>
      </c>
      <c r="L135" s="8">
        <v>5.0</v>
      </c>
      <c r="M135" s="8">
        <v>39.0</v>
      </c>
      <c r="N135" s="6" t="s">
        <v>21</v>
      </c>
      <c r="O135" s="9"/>
    </row>
    <row r="136" ht="22.5" customHeight="1">
      <c r="A136" s="6" t="s">
        <v>294</v>
      </c>
      <c r="B136" s="6" t="s">
        <v>97</v>
      </c>
      <c r="C136" s="7">
        <v>46065.0</v>
      </c>
      <c r="D136" s="6" t="s">
        <v>24</v>
      </c>
      <c r="E136" s="6" t="s">
        <v>140</v>
      </c>
      <c r="F136" s="6" t="s">
        <v>57</v>
      </c>
      <c r="G136" s="8">
        <v>2.0</v>
      </c>
      <c r="H136" s="8">
        <v>499.0</v>
      </c>
      <c r="I136" s="8">
        <v>0.0</v>
      </c>
      <c r="J136" s="8">
        <v>998.0</v>
      </c>
      <c r="K136" s="6" t="s">
        <v>27</v>
      </c>
      <c r="L136" s="8">
        <v>4.3</v>
      </c>
      <c r="M136" s="8">
        <v>36.0</v>
      </c>
      <c r="N136" s="6" t="s">
        <v>21</v>
      </c>
      <c r="O136" s="9"/>
    </row>
    <row r="137" ht="22.5" customHeight="1">
      <c r="A137" s="6" t="s">
        <v>295</v>
      </c>
      <c r="B137" s="6" t="s">
        <v>296</v>
      </c>
      <c r="C137" s="7">
        <v>46066.0</v>
      </c>
      <c r="D137" s="6" t="s">
        <v>41</v>
      </c>
      <c r="E137" s="6" t="s">
        <v>45</v>
      </c>
      <c r="F137" s="6" t="s">
        <v>26</v>
      </c>
      <c r="G137" s="8">
        <v>1.0</v>
      </c>
      <c r="H137" s="8">
        <v>1999.0</v>
      </c>
      <c r="I137" s="8">
        <v>0.0</v>
      </c>
      <c r="J137" s="8">
        <v>1999.0</v>
      </c>
      <c r="K137" s="6" t="s">
        <v>27</v>
      </c>
      <c r="L137" s="8">
        <v>4.0</v>
      </c>
      <c r="M137" s="8">
        <v>26.0</v>
      </c>
      <c r="N137" s="6" t="s">
        <v>21</v>
      </c>
      <c r="O137" s="9"/>
    </row>
    <row r="138" ht="22.5" customHeight="1">
      <c r="A138" s="6" t="s">
        <v>297</v>
      </c>
      <c r="B138" s="6" t="s">
        <v>298</v>
      </c>
      <c r="C138" s="7">
        <v>46067.0</v>
      </c>
      <c r="D138" s="6" t="s">
        <v>17</v>
      </c>
      <c r="E138" s="6" t="s">
        <v>18</v>
      </c>
      <c r="F138" s="6" t="s">
        <v>37</v>
      </c>
      <c r="G138" s="8">
        <v>1.0</v>
      </c>
      <c r="H138" s="8">
        <v>699.0</v>
      </c>
      <c r="I138" s="8">
        <v>0.02</v>
      </c>
      <c r="J138" s="8">
        <v>685.02</v>
      </c>
      <c r="K138" s="6" t="s">
        <v>27</v>
      </c>
      <c r="L138" s="8">
        <v>3.5</v>
      </c>
      <c r="M138" s="8">
        <v>34.0</v>
      </c>
      <c r="N138" s="6" t="s">
        <v>21</v>
      </c>
      <c r="O138" s="9"/>
    </row>
    <row r="139" ht="22.5" customHeight="1">
      <c r="A139" s="6" t="s">
        <v>299</v>
      </c>
      <c r="B139" s="6" t="s">
        <v>300</v>
      </c>
      <c r="C139" s="7">
        <v>46068.0</v>
      </c>
      <c r="D139" s="6" t="s">
        <v>30</v>
      </c>
      <c r="E139" s="6" t="s">
        <v>31</v>
      </c>
      <c r="F139" s="6" t="s">
        <v>26</v>
      </c>
      <c r="G139" s="8">
        <v>1.0</v>
      </c>
      <c r="H139" s="8">
        <v>299.0</v>
      </c>
      <c r="I139" s="8">
        <v>0.21</v>
      </c>
      <c r="J139" s="8">
        <v>236.21</v>
      </c>
      <c r="K139" s="6" t="s">
        <v>27</v>
      </c>
      <c r="L139" s="8">
        <v>4.2</v>
      </c>
      <c r="M139" s="8">
        <v>27.0</v>
      </c>
      <c r="N139" s="6" t="s">
        <v>21</v>
      </c>
      <c r="O139" s="9"/>
    </row>
    <row r="140" ht="22.5" customHeight="1">
      <c r="A140" s="6" t="s">
        <v>301</v>
      </c>
      <c r="B140" s="6" t="s">
        <v>138</v>
      </c>
      <c r="C140" s="7">
        <v>46069.0</v>
      </c>
      <c r="D140" s="6" t="s">
        <v>17</v>
      </c>
      <c r="E140" s="6" t="s">
        <v>75</v>
      </c>
      <c r="F140" s="6" t="s">
        <v>37</v>
      </c>
      <c r="G140" s="8">
        <v>2.0</v>
      </c>
      <c r="H140" s="8">
        <v>199.0</v>
      </c>
      <c r="I140" s="8">
        <v>0.01</v>
      </c>
      <c r="J140" s="8">
        <v>394.02</v>
      </c>
      <c r="K140" s="6" t="s">
        <v>27</v>
      </c>
      <c r="L140" s="8">
        <v>3.8</v>
      </c>
      <c r="M140" s="8">
        <v>44.0</v>
      </c>
      <c r="N140" s="6" t="s">
        <v>21</v>
      </c>
      <c r="O140" s="9"/>
    </row>
    <row r="141" ht="22.5" customHeight="1">
      <c r="A141" s="6" t="s">
        <v>302</v>
      </c>
      <c r="B141" s="6" t="s">
        <v>303</v>
      </c>
      <c r="C141" s="7">
        <v>46070.0</v>
      </c>
      <c r="D141" s="6" t="s">
        <v>24</v>
      </c>
      <c r="E141" s="6" t="s">
        <v>140</v>
      </c>
      <c r="F141" s="6" t="s">
        <v>19</v>
      </c>
      <c r="G141" s="8">
        <v>1.0</v>
      </c>
      <c r="H141" s="8">
        <v>199.0</v>
      </c>
      <c r="I141" s="8">
        <v>0.26</v>
      </c>
      <c r="J141" s="8">
        <v>147.26</v>
      </c>
      <c r="K141" s="6" t="s">
        <v>51</v>
      </c>
      <c r="L141" s="8">
        <v>4.6</v>
      </c>
      <c r="M141" s="8">
        <v>38.0</v>
      </c>
      <c r="N141" s="6" t="s">
        <v>21</v>
      </c>
      <c r="O141" s="9"/>
    </row>
    <row r="142" ht="22.5" customHeight="1">
      <c r="A142" s="6" t="s">
        <v>304</v>
      </c>
      <c r="B142" s="6" t="s">
        <v>172</v>
      </c>
      <c r="C142" s="7">
        <v>46071.0</v>
      </c>
      <c r="D142" s="6" t="s">
        <v>17</v>
      </c>
      <c r="E142" s="6" t="s">
        <v>75</v>
      </c>
      <c r="F142" s="6" t="s">
        <v>32</v>
      </c>
      <c r="G142" s="8">
        <v>1.0</v>
      </c>
      <c r="H142" s="8">
        <v>99.0</v>
      </c>
      <c r="I142" s="8">
        <v>0.12</v>
      </c>
      <c r="J142" s="8">
        <v>87.12</v>
      </c>
      <c r="K142" s="6" t="s">
        <v>33</v>
      </c>
      <c r="L142" s="8">
        <v>5.0</v>
      </c>
      <c r="M142" s="8">
        <v>27.0</v>
      </c>
      <c r="N142" s="6" t="s">
        <v>21</v>
      </c>
      <c r="O142" s="9"/>
    </row>
    <row r="143" ht="22.5" customHeight="1">
      <c r="A143" s="6" t="s">
        <v>305</v>
      </c>
      <c r="B143" s="6" t="s">
        <v>306</v>
      </c>
      <c r="C143" s="7">
        <v>46072.0</v>
      </c>
      <c r="D143" s="6" t="s">
        <v>17</v>
      </c>
      <c r="E143" s="6" t="s">
        <v>18</v>
      </c>
      <c r="F143" s="6" t="s">
        <v>57</v>
      </c>
      <c r="G143" s="8">
        <v>1.0</v>
      </c>
      <c r="H143" s="8">
        <v>99.0</v>
      </c>
      <c r="I143" s="8">
        <v>0.1</v>
      </c>
      <c r="J143" s="8">
        <v>89.1</v>
      </c>
      <c r="K143" s="6" t="s">
        <v>51</v>
      </c>
      <c r="L143" s="8">
        <v>4.7</v>
      </c>
      <c r="M143" s="8">
        <v>47.0</v>
      </c>
      <c r="N143" s="6" t="s">
        <v>21</v>
      </c>
      <c r="O143" s="9"/>
    </row>
    <row r="144" ht="22.5" customHeight="1">
      <c r="A144" s="6" t="s">
        <v>307</v>
      </c>
      <c r="B144" s="6" t="s">
        <v>308</v>
      </c>
      <c r="C144" s="7">
        <v>46073.0</v>
      </c>
      <c r="D144" s="6" t="s">
        <v>41</v>
      </c>
      <c r="E144" s="6" t="s">
        <v>42</v>
      </c>
      <c r="F144" s="6" t="s">
        <v>19</v>
      </c>
      <c r="G144" s="8">
        <v>4.0</v>
      </c>
      <c r="H144" s="8">
        <v>299.0</v>
      </c>
      <c r="I144" s="8">
        <v>0.0</v>
      </c>
      <c r="J144" s="8">
        <v>1196.0</v>
      </c>
      <c r="K144" s="6" t="s">
        <v>27</v>
      </c>
      <c r="L144" s="8">
        <v>5.0</v>
      </c>
      <c r="M144" s="8">
        <v>36.0</v>
      </c>
      <c r="N144" s="6" t="s">
        <v>21</v>
      </c>
      <c r="O144" s="9"/>
    </row>
    <row r="145" ht="22.5" customHeight="1">
      <c r="A145" s="6" t="s">
        <v>309</v>
      </c>
      <c r="B145" s="6" t="s">
        <v>310</v>
      </c>
      <c r="C145" s="7">
        <v>46074.0</v>
      </c>
      <c r="D145" s="6" t="s">
        <v>30</v>
      </c>
      <c r="E145" s="6" t="s">
        <v>70</v>
      </c>
      <c r="F145" s="6" t="s">
        <v>19</v>
      </c>
      <c r="G145" s="8">
        <v>4.0</v>
      </c>
      <c r="H145" s="8">
        <v>199.0</v>
      </c>
      <c r="I145" s="8">
        <v>0.21</v>
      </c>
      <c r="J145" s="8">
        <v>628.84</v>
      </c>
      <c r="K145" s="6" t="s">
        <v>27</v>
      </c>
      <c r="L145" s="8">
        <v>3.8</v>
      </c>
      <c r="M145" s="8">
        <v>27.0</v>
      </c>
      <c r="N145" s="6" t="s">
        <v>21</v>
      </c>
      <c r="O145" s="9"/>
    </row>
    <row r="146" ht="22.5" customHeight="1">
      <c r="A146" s="6" t="s">
        <v>311</v>
      </c>
      <c r="B146" s="6" t="s">
        <v>174</v>
      </c>
      <c r="C146" s="7">
        <v>46075.0</v>
      </c>
      <c r="D146" s="6" t="s">
        <v>24</v>
      </c>
      <c r="E146" s="6" t="s">
        <v>25</v>
      </c>
      <c r="F146" s="6" t="s">
        <v>65</v>
      </c>
      <c r="G146" s="8">
        <v>1.0</v>
      </c>
      <c r="H146" s="8">
        <v>99.0</v>
      </c>
      <c r="I146" s="8">
        <v>0.0</v>
      </c>
      <c r="J146" s="8">
        <v>99.0</v>
      </c>
      <c r="K146" s="6" t="s">
        <v>27</v>
      </c>
      <c r="L146" s="8">
        <v>4.0</v>
      </c>
      <c r="M146" s="8">
        <v>34.0</v>
      </c>
      <c r="N146" s="6" t="s">
        <v>21</v>
      </c>
      <c r="O146" s="9"/>
    </row>
    <row r="147" ht="22.5" customHeight="1">
      <c r="A147" s="6" t="s">
        <v>312</v>
      </c>
      <c r="B147" s="6" t="s">
        <v>313</v>
      </c>
      <c r="C147" s="7">
        <v>46076.0</v>
      </c>
      <c r="D147" s="6" t="s">
        <v>24</v>
      </c>
      <c r="E147" s="6" t="s">
        <v>117</v>
      </c>
      <c r="F147" s="6" t="s">
        <v>57</v>
      </c>
      <c r="G147" s="8">
        <v>3.0</v>
      </c>
      <c r="H147" s="8">
        <v>149.0</v>
      </c>
      <c r="I147" s="8">
        <v>0.07</v>
      </c>
      <c r="J147" s="8">
        <v>415.71</v>
      </c>
      <c r="K147" s="10"/>
      <c r="L147" s="8">
        <v>5.0</v>
      </c>
      <c r="M147" s="8">
        <v>27.0</v>
      </c>
      <c r="N147" s="6" t="s">
        <v>21</v>
      </c>
      <c r="O147" s="9"/>
    </row>
    <row r="148" ht="22.5" customHeight="1">
      <c r="A148" s="6" t="s">
        <v>314</v>
      </c>
      <c r="B148" s="6" t="s">
        <v>315</v>
      </c>
      <c r="C148" s="7">
        <v>46077.0</v>
      </c>
      <c r="D148" s="6" t="s">
        <v>17</v>
      </c>
      <c r="E148" s="6" t="s">
        <v>111</v>
      </c>
      <c r="F148" s="6" t="s">
        <v>65</v>
      </c>
      <c r="G148" s="8">
        <v>1.0</v>
      </c>
      <c r="H148" s="8">
        <v>249.0</v>
      </c>
      <c r="I148" s="8">
        <v>0.16</v>
      </c>
      <c r="J148" s="8">
        <v>209.16</v>
      </c>
      <c r="K148" s="6" t="s">
        <v>51</v>
      </c>
      <c r="L148" s="8">
        <v>4.8</v>
      </c>
      <c r="M148" s="8">
        <v>42.0</v>
      </c>
      <c r="N148" s="6" t="s">
        <v>21</v>
      </c>
      <c r="O148" s="9"/>
    </row>
    <row r="149" ht="22.5" customHeight="1">
      <c r="A149" s="6" t="s">
        <v>316</v>
      </c>
      <c r="B149" s="6" t="s">
        <v>317</v>
      </c>
      <c r="C149" s="7">
        <v>46078.0</v>
      </c>
      <c r="D149" s="6" t="s">
        <v>17</v>
      </c>
      <c r="E149" s="6" t="s">
        <v>111</v>
      </c>
      <c r="F149" s="6" t="s">
        <v>57</v>
      </c>
      <c r="G149" s="8">
        <v>3.0</v>
      </c>
      <c r="H149" s="8">
        <v>249.0</v>
      </c>
      <c r="I149" s="8">
        <v>0.19</v>
      </c>
      <c r="J149" s="8">
        <v>605.07</v>
      </c>
      <c r="K149" s="6" t="s">
        <v>51</v>
      </c>
      <c r="L149" s="8">
        <v>4.0</v>
      </c>
      <c r="M149" s="8">
        <v>39.0</v>
      </c>
      <c r="N149" s="6" t="s">
        <v>21</v>
      </c>
      <c r="O149" s="9"/>
    </row>
    <row r="150" ht="22.5" customHeight="1">
      <c r="A150" s="6" t="s">
        <v>318</v>
      </c>
      <c r="B150" s="6" t="s">
        <v>319</v>
      </c>
      <c r="C150" s="7">
        <v>46079.0</v>
      </c>
      <c r="D150" s="6" t="s">
        <v>41</v>
      </c>
      <c r="E150" s="6" t="s">
        <v>54</v>
      </c>
      <c r="F150" s="6" t="s">
        <v>37</v>
      </c>
      <c r="G150" s="8">
        <v>1.0</v>
      </c>
      <c r="H150" s="8">
        <v>499.0</v>
      </c>
      <c r="I150" s="8">
        <v>0.12</v>
      </c>
      <c r="J150" s="8">
        <v>439.12</v>
      </c>
      <c r="K150" s="6" t="s">
        <v>27</v>
      </c>
      <c r="L150" s="8">
        <v>4.0</v>
      </c>
      <c r="M150" s="8">
        <v>51.0</v>
      </c>
      <c r="N150" s="6" t="s">
        <v>21</v>
      </c>
      <c r="O150" s="9"/>
    </row>
    <row r="151" ht="22.5" customHeight="1">
      <c r="A151" s="6" t="s">
        <v>320</v>
      </c>
      <c r="B151" s="6" t="s">
        <v>321</v>
      </c>
      <c r="C151" s="7">
        <v>46080.0</v>
      </c>
      <c r="D151" s="6" t="s">
        <v>17</v>
      </c>
      <c r="E151" s="6" t="s">
        <v>111</v>
      </c>
      <c r="F151" s="6" t="s">
        <v>26</v>
      </c>
      <c r="G151" s="8">
        <v>5.0</v>
      </c>
      <c r="H151" s="8">
        <v>99.0</v>
      </c>
      <c r="I151" s="8">
        <v>0.0</v>
      </c>
      <c r="J151" s="8">
        <v>495.0</v>
      </c>
      <c r="K151" s="6" t="s">
        <v>27</v>
      </c>
      <c r="L151" s="8">
        <v>4.1</v>
      </c>
      <c r="M151" s="8">
        <v>19.0</v>
      </c>
      <c r="N151" s="6" t="s">
        <v>21</v>
      </c>
      <c r="O151" s="9"/>
    </row>
    <row r="152" ht="22.5" customHeight="1">
      <c r="A152" s="6" t="s">
        <v>322</v>
      </c>
      <c r="B152" s="6" t="s">
        <v>323</v>
      </c>
      <c r="C152" s="7">
        <v>46081.0</v>
      </c>
      <c r="D152" s="6" t="s">
        <v>17</v>
      </c>
      <c r="E152" s="6" t="s">
        <v>111</v>
      </c>
      <c r="F152" s="6" t="s">
        <v>37</v>
      </c>
      <c r="G152" s="8">
        <v>1.0</v>
      </c>
      <c r="H152" s="8">
        <v>1999.0</v>
      </c>
      <c r="I152" s="8">
        <v>0.0</v>
      </c>
      <c r="J152" s="8">
        <v>1999.0</v>
      </c>
      <c r="K152" s="6" t="s">
        <v>33</v>
      </c>
      <c r="L152" s="8">
        <v>4.8</v>
      </c>
      <c r="M152" s="8">
        <v>20.0</v>
      </c>
      <c r="N152" s="6" t="s">
        <v>21</v>
      </c>
      <c r="O152" s="9"/>
    </row>
    <row r="153" ht="22.5" customHeight="1">
      <c r="A153" s="6" t="s">
        <v>324</v>
      </c>
      <c r="B153" s="6" t="s">
        <v>315</v>
      </c>
      <c r="C153" s="7">
        <v>46082.0</v>
      </c>
      <c r="D153" s="6" t="s">
        <v>30</v>
      </c>
      <c r="E153" s="6" t="s">
        <v>70</v>
      </c>
      <c r="F153" s="6" t="s">
        <v>57</v>
      </c>
      <c r="G153" s="8">
        <v>1.0</v>
      </c>
      <c r="H153" s="8">
        <v>49.0</v>
      </c>
      <c r="I153" s="8">
        <v>0.07</v>
      </c>
      <c r="J153" s="8">
        <v>45.57</v>
      </c>
      <c r="K153" s="6" t="s">
        <v>27</v>
      </c>
      <c r="L153" s="8">
        <v>3.2</v>
      </c>
      <c r="M153" s="8">
        <v>43.0</v>
      </c>
      <c r="N153" s="6" t="s">
        <v>21</v>
      </c>
      <c r="O153" s="9"/>
    </row>
    <row r="154" ht="22.5" customHeight="1">
      <c r="A154" s="6" t="s">
        <v>325</v>
      </c>
      <c r="B154" s="6" t="s">
        <v>326</v>
      </c>
      <c r="C154" s="7">
        <v>46083.0</v>
      </c>
      <c r="D154" s="6" t="s">
        <v>17</v>
      </c>
      <c r="E154" s="6" t="s">
        <v>75</v>
      </c>
      <c r="F154" s="6" t="s">
        <v>19</v>
      </c>
      <c r="G154" s="8">
        <v>1.0</v>
      </c>
      <c r="H154" s="8">
        <v>699.0</v>
      </c>
      <c r="I154" s="8">
        <v>0.18</v>
      </c>
      <c r="J154" s="8">
        <v>573.18</v>
      </c>
      <c r="K154" s="6" t="s">
        <v>20</v>
      </c>
      <c r="L154" s="8">
        <v>3.5</v>
      </c>
      <c r="M154" s="8">
        <v>40.0</v>
      </c>
      <c r="N154" s="6" t="s">
        <v>38</v>
      </c>
      <c r="O154" s="9"/>
    </row>
    <row r="155" ht="22.5" customHeight="1">
      <c r="A155" s="6" t="s">
        <v>327</v>
      </c>
      <c r="B155" s="6" t="s">
        <v>328</v>
      </c>
      <c r="C155" s="7">
        <v>46084.0</v>
      </c>
      <c r="D155" s="6" t="s">
        <v>24</v>
      </c>
      <c r="E155" s="6" t="s">
        <v>25</v>
      </c>
      <c r="F155" s="6" t="s">
        <v>32</v>
      </c>
      <c r="G155" s="8">
        <v>3.0</v>
      </c>
      <c r="H155" s="8">
        <v>199.0</v>
      </c>
      <c r="I155" s="8">
        <v>0.2</v>
      </c>
      <c r="J155" s="8">
        <v>477.6</v>
      </c>
      <c r="K155" s="6" t="s">
        <v>20</v>
      </c>
      <c r="L155" s="8">
        <v>4.4</v>
      </c>
      <c r="M155" s="8">
        <v>56.0</v>
      </c>
      <c r="N155" s="6" t="s">
        <v>21</v>
      </c>
      <c r="O155" s="9"/>
    </row>
    <row r="156" ht="22.5" customHeight="1">
      <c r="A156" s="6" t="s">
        <v>329</v>
      </c>
      <c r="B156" s="6" t="s">
        <v>239</v>
      </c>
      <c r="C156" s="7">
        <v>46085.0</v>
      </c>
      <c r="D156" s="6" t="s">
        <v>30</v>
      </c>
      <c r="E156" s="6" t="s">
        <v>70</v>
      </c>
      <c r="F156" s="6" t="s">
        <v>57</v>
      </c>
      <c r="G156" s="8">
        <v>3.0</v>
      </c>
      <c r="H156" s="8">
        <v>249.0</v>
      </c>
      <c r="I156" s="8">
        <v>0.02</v>
      </c>
      <c r="J156" s="8">
        <v>732.06</v>
      </c>
      <c r="K156" s="6" t="s">
        <v>27</v>
      </c>
      <c r="L156" s="8">
        <v>3.9</v>
      </c>
      <c r="M156" s="8">
        <v>52.0</v>
      </c>
      <c r="N156" s="6" t="s">
        <v>21</v>
      </c>
      <c r="O156" s="9"/>
    </row>
    <row r="157" ht="22.5" customHeight="1">
      <c r="A157" s="6" t="s">
        <v>330</v>
      </c>
      <c r="B157" s="6" t="s">
        <v>331</v>
      </c>
      <c r="C157" s="7">
        <v>46086.0</v>
      </c>
      <c r="D157" s="6" t="s">
        <v>30</v>
      </c>
      <c r="E157" s="6" t="s">
        <v>86</v>
      </c>
      <c r="F157" s="6" t="s">
        <v>65</v>
      </c>
      <c r="G157" s="8">
        <v>1.0</v>
      </c>
      <c r="H157" s="8">
        <v>99.0</v>
      </c>
      <c r="I157" s="8">
        <v>0.13</v>
      </c>
      <c r="J157" s="8">
        <v>86.13</v>
      </c>
      <c r="K157" s="6" t="s">
        <v>27</v>
      </c>
      <c r="L157" s="8">
        <v>3.8</v>
      </c>
      <c r="M157" s="8">
        <v>36.0</v>
      </c>
      <c r="N157" s="6" t="s">
        <v>21</v>
      </c>
      <c r="O157" s="9"/>
    </row>
    <row r="158" ht="22.5" customHeight="1">
      <c r="A158" s="6" t="s">
        <v>332</v>
      </c>
      <c r="B158" s="6" t="s">
        <v>158</v>
      </c>
      <c r="C158" s="7">
        <v>46087.0</v>
      </c>
      <c r="D158" s="6" t="s">
        <v>41</v>
      </c>
      <c r="E158" s="6" t="s">
        <v>45</v>
      </c>
      <c r="F158" s="6" t="s">
        <v>32</v>
      </c>
      <c r="G158" s="8">
        <v>3.0</v>
      </c>
      <c r="H158" s="8">
        <v>249.0</v>
      </c>
      <c r="I158" s="8">
        <v>0.09</v>
      </c>
      <c r="J158" s="8">
        <v>679.77</v>
      </c>
      <c r="K158" s="6" t="s">
        <v>27</v>
      </c>
      <c r="L158" s="8">
        <v>4.3</v>
      </c>
      <c r="M158" s="8">
        <v>39.0</v>
      </c>
      <c r="N158" s="6" t="s">
        <v>21</v>
      </c>
      <c r="O158" s="9"/>
    </row>
    <row r="159" ht="22.5" customHeight="1">
      <c r="A159" s="6" t="s">
        <v>333</v>
      </c>
      <c r="B159" s="6" t="s">
        <v>334</v>
      </c>
      <c r="C159" s="7">
        <v>46088.0</v>
      </c>
      <c r="D159" s="6" t="s">
        <v>24</v>
      </c>
      <c r="E159" s="6" t="s">
        <v>25</v>
      </c>
      <c r="F159" s="6" t="s">
        <v>26</v>
      </c>
      <c r="G159" s="8">
        <v>4.0</v>
      </c>
      <c r="H159" s="8">
        <v>699.0</v>
      </c>
      <c r="I159" s="8">
        <v>0.1</v>
      </c>
      <c r="J159" s="8">
        <v>2516.4</v>
      </c>
      <c r="K159" s="6" t="s">
        <v>33</v>
      </c>
      <c r="L159" s="8">
        <v>3.1</v>
      </c>
      <c r="M159" s="8">
        <v>26.0</v>
      </c>
      <c r="N159" s="6" t="s">
        <v>21</v>
      </c>
      <c r="O159" s="9"/>
    </row>
    <row r="160" ht="22.5" customHeight="1">
      <c r="A160" s="6" t="s">
        <v>335</v>
      </c>
      <c r="B160" s="6" t="s">
        <v>336</v>
      </c>
      <c r="C160" s="7">
        <v>46089.0</v>
      </c>
      <c r="D160" s="6" t="s">
        <v>17</v>
      </c>
      <c r="E160" s="6" t="s">
        <v>18</v>
      </c>
      <c r="F160" s="6" t="s">
        <v>19</v>
      </c>
      <c r="G160" s="8">
        <v>5.0</v>
      </c>
      <c r="H160" s="8">
        <v>699.0</v>
      </c>
      <c r="I160" s="8">
        <v>0.16</v>
      </c>
      <c r="J160" s="8">
        <v>2935.8</v>
      </c>
      <c r="K160" s="6" t="s">
        <v>51</v>
      </c>
      <c r="L160" s="8">
        <v>4.7</v>
      </c>
      <c r="M160" s="8">
        <v>35.0</v>
      </c>
      <c r="N160" s="6" t="s">
        <v>21</v>
      </c>
      <c r="O160" s="9"/>
    </row>
    <row r="161" ht="22.5" customHeight="1">
      <c r="A161" s="6" t="s">
        <v>337</v>
      </c>
      <c r="B161" s="6" t="s">
        <v>338</v>
      </c>
      <c r="C161" s="7">
        <v>46090.0</v>
      </c>
      <c r="D161" s="6" t="s">
        <v>17</v>
      </c>
      <c r="E161" s="6" t="s">
        <v>64</v>
      </c>
      <c r="F161" s="6" t="s">
        <v>19</v>
      </c>
      <c r="G161" s="8">
        <v>1.0</v>
      </c>
      <c r="H161" s="8">
        <v>199.0</v>
      </c>
      <c r="I161" s="8">
        <v>0.12</v>
      </c>
      <c r="J161" s="8">
        <v>175.12</v>
      </c>
      <c r="K161" s="6" t="s">
        <v>51</v>
      </c>
      <c r="L161" s="8">
        <v>4.8</v>
      </c>
      <c r="M161" s="8">
        <v>41.0</v>
      </c>
      <c r="N161" s="6" t="s">
        <v>21</v>
      </c>
      <c r="O161" s="9"/>
    </row>
    <row r="162" ht="22.5" customHeight="1">
      <c r="A162" s="6" t="s">
        <v>339</v>
      </c>
      <c r="B162" s="6" t="s">
        <v>105</v>
      </c>
      <c r="C162" s="7">
        <v>46091.0</v>
      </c>
      <c r="D162" s="6" t="s">
        <v>24</v>
      </c>
      <c r="E162" s="6" t="s">
        <v>48</v>
      </c>
      <c r="F162" s="6" t="s">
        <v>37</v>
      </c>
      <c r="G162" s="8">
        <v>2.0</v>
      </c>
      <c r="H162" s="8">
        <v>49.0</v>
      </c>
      <c r="I162" s="8">
        <v>0.23</v>
      </c>
      <c r="J162" s="8">
        <v>75.46</v>
      </c>
      <c r="K162" s="6" t="s">
        <v>27</v>
      </c>
      <c r="L162" s="8">
        <v>4.0</v>
      </c>
      <c r="M162" s="8">
        <v>36.0</v>
      </c>
      <c r="N162" s="6" t="s">
        <v>21</v>
      </c>
      <c r="O162" s="9"/>
    </row>
    <row r="163" ht="22.5" customHeight="1">
      <c r="A163" s="6" t="s">
        <v>340</v>
      </c>
      <c r="B163" s="6" t="s">
        <v>323</v>
      </c>
      <c r="C163" s="7">
        <v>46092.0</v>
      </c>
      <c r="D163" s="6" t="s">
        <v>30</v>
      </c>
      <c r="E163" s="6" t="s">
        <v>36</v>
      </c>
      <c r="F163" s="6" t="s">
        <v>19</v>
      </c>
      <c r="G163" s="8">
        <v>1.0</v>
      </c>
      <c r="H163" s="8">
        <v>999.0</v>
      </c>
      <c r="I163" s="8">
        <v>0.09</v>
      </c>
      <c r="J163" s="8">
        <v>909.09</v>
      </c>
      <c r="K163" s="6" t="s">
        <v>33</v>
      </c>
      <c r="L163" s="8">
        <v>5.0</v>
      </c>
      <c r="M163" s="8">
        <v>37.0</v>
      </c>
      <c r="N163" s="6" t="s">
        <v>21</v>
      </c>
      <c r="O163" s="9"/>
    </row>
    <row r="164" ht="22.5" customHeight="1">
      <c r="A164" s="6" t="s">
        <v>341</v>
      </c>
      <c r="B164" s="6" t="s">
        <v>125</v>
      </c>
      <c r="C164" s="7">
        <v>46093.0</v>
      </c>
      <c r="D164" s="6" t="s">
        <v>30</v>
      </c>
      <c r="E164" s="6" t="s">
        <v>86</v>
      </c>
      <c r="F164" s="6" t="s">
        <v>32</v>
      </c>
      <c r="G164" s="8">
        <v>1.0</v>
      </c>
      <c r="H164" s="8">
        <v>149.0</v>
      </c>
      <c r="I164" s="8">
        <v>0.11</v>
      </c>
      <c r="J164" s="8">
        <v>132.61</v>
      </c>
      <c r="K164" s="6" t="s">
        <v>33</v>
      </c>
      <c r="L164" s="8">
        <v>2.9</v>
      </c>
      <c r="M164" s="8">
        <v>43.0</v>
      </c>
      <c r="N164" s="6" t="s">
        <v>21</v>
      </c>
      <c r="O164" s="9"/>
    </row>
    <row r="165" ht="22.5" customHeight="1">
      <c r="A165" s="6" t="s">
        <v>342</v>
      </c>
      <c r="B165" s="6" t="s">
        <v>59</v>
      </c>
      <c r="C165" s="7">
        <v>46094.0</v>
      </c>
      <c r="D165" s="6" t="s">
        <v>17</v>
      </c>
      <c r="E165" s="6" t="s">
        <v>111</v>
      </c>
      <c r="F165" s="6" t="s">
        <v>65</v>
      </c>
      <c r="G165" s="8">
        <v>2.0</v>
      </c>
      <c r="H165" s="8">
        <v>149.0</v>
      </c>
      <c r="I165" s="8">
        <v>0.09</v>
      </c>
      <c r="J165" s="8">
        <v>271.18</v>
      </c>
      <c r="K165" s="6" t="s">
        <v>33</v>
      </c>
      <c r="L165" s="8">
        <v>4.1</v>
      </c>
      <c r="M165" s="8">
        <v>42.0</v>
      </c>
      <c r="N165" s="6" t="s">
        <v>21</v>
      </c>
      <c r="O165" s="9"/>
    </row>
    <row r="166" ht="22.5" customHeight="1">
      <c r="A166" s="6" t="s">
        <v>343</v>
      </c>
      <c r="B166" s="6" t="s">
        <v>344</v>
      </c>
      <c r="C166" s="7">
        <v>46095.0</v>
      </c>
      <c r="D166" s="6" t="s">
        <v>30</v>
      </c>
      <c r="E166" s="6" t="s">
        <v>31</v>
      </c>
      <c r="F166" s="6" t="s">
        <v>57</v>
      </c>
      <c r="G166" s="8">
        <v>4.0</v>
      </c>
      <c r="H166" s="8">
        <v>99.0</v>
      </c>
      <c r="I166" s="8">
        <v>0.24</v>
      </c>
      <c r="J166" s="8">
        <v>300.96</v>
      </c>
      <c r="K166" s="6" t="s">
        <v>33</v>
      </c>
      <c r="L166" s="8">
        <v>5.0</v>
      </c>
      <c r="M166" s="8">
        <v>53.0</v>
      </c>
      <c r="N166" s="6" t="s">
        <v>21</v>
      </c>
      <c r="O166" s="9"/>
    </row>
    <row r="167" ht="22.5" customHeight="1">
      <c r="A167" s="6" t="s">
        <v>345</v>
      </c>
      <c r="B167" s="6" t="s">
        <v>74</v>
      </c>
      <c r="C167" s="7">
        <v>46096.0</v>
      </c>
      <c r="D167" s="6" t="s">
        <v>24</v>
      </c>
      <c r="E167" s="6" t="s">
        <v>25</v>
      </c>
      <c r="F167" s="6" t="s">
        <v>37</v>
      </c>
      <c r="G167" s="8">
        <v>3.0</v>
      </c>
      <c r="H167" s="8">
        <v>99.0</v>
      </c>
      <c r="I167" s="8">
        <v>0.14</v>
      </c>
      <c r="J167" s="8">
        <v>255.42</v>
      </c>
      <c r="K167" s="6" t="s">
        <v>51</v>
      </c>
      <c r="L167" s="8">
        <v>3.0</v>
      </c>
      <c r="M167" s="8">
        <v>35.0</v>
      </c>
      <c r="N167" s="6" t="s">
        <v>21</v>
      </c>
      <c r="O167" s="9"/>
    </row>
    <row r="168" ht="22.5" customHeight="1">
      <c r="A168" s="6" t="s">
        <v>346</v>
      </c>
      <c r="B168" s="6" t="s">
        <v>347</v>
      </c>
      <c r="C168" s="7">
        <v>46097.0</v>
      </c>
      <c r="D168" s="6" t="s">
        <v>17</v>
      </c>
      <c r="E168" s="6" t="s">
        <v>75</v>
      </c>
      <c r="F168" s="6" t="s">
        <v>65</v>
      </c>
      <c r="G168" s="8">
        <v>2.0</v>
      </c>
      <c r="H168" s="8">
        <v>99.0</v>
      </c>
      <c r="I168" s="8">
        <v>0.21</v>
      </c>
      <c r="J168" s="8">
        <v>156.42</v>
      </c>
      <c r="K168" s="6" t="s">
        <v>33</v>
      </c>
      <c r="L168" s="8">
        <v>3.9</v>
      </c>
      <c r="M168" s="8">
        <v>25.0</v>
      </c>
      <c r="N168" s="6" t="s">
        <v>21</v>
      </c>
      <c r="O168" s="9"/>
    </row>
    <row r="169" ht="22.5" customHeight="1">
      <c r="A169" s="6" t="s">
        <v>348</v>
      </c>
      <c r="B169" s="6" t="s">
        <v>349</v>
      </c>
      <c r="C169" s="7">
        <v>46098.0</v>
      </c>
      <c r="D169" s="6" t="s">
        <v>41</v>
      </c>
      <c r="E169" s="6" t="s">
        <v>45</v>
      </c>
      <c r="F169" s="6" t="s">
        <v>26</v>
      </c>
      <c r="G169" s="8">
        <v>1.0</v>
      </c>
      <c r="H169" s="8">
        <v>1999.0</v>
      </c>
      <c r="I169" s="8">
        <v>0.07</v>
      </c>
      <c r="J169" s="8">
        <v>1859.07</v>
      </c>
      <c r="K169" s="6" t="s">
        <v>51</v>
      </c>
      <c r="L169" s="8">
        <v>4.1</v>
      </c>
      <c r="M169" s="8">
        <v>41.0</v>
      </c>
      <c r="N169" s="6" t="s">
        <v>21</v>
      </c>
      <c r="O169" s="9"/>
    </row>
    <row r="170" ht="22.5" customHeight="1">
      <c r="A170" s="6" t="s">
        <v>350</v>
      </c>
      <c r="B170" s="6" t="s">
        <v>351</v>
      </c>
      <c r="C170" s="7">
        <v>46099.0</v>
      </c>
      <c r="D170" s="6" t="s">
        <v>17</v>
      </c>
      <c r="E170" s="6" t="s">
        <v>64</v>
      </c>
      <c r="F170" s="6" t="s">
        <v>26</v>
      </c>
      <c r="G170" s="8">
        <v>2.0</v>
      </c>
      <c r="H170" s="8">
        <v>499.0</v>
      </c>
      <c r="I170" s="8">
        <v>0.04</v>
      </c>
      <c r="J170" s="8">
        <v>958.08</v>
      </c>
      <c r="K170" s="6" t="s">
        <v>27</v>
      </c>
      <c r="L170" s="8">
        <v>4.1</v>
      </c>
      <c r="M170" s="8">
        <v>27.0</v>
      </c>
      <c r="N170" s="6" t="s">
        <v>21</v>
      </c>
      <c r="O170" s="9"/>
    </row>
    <row r="171" ht="22.5" customHeight="1">
      <c r="A171" s="6" t="s">
        <v>352</v>
      </c>
      <c r="B171" s="6" t="s">
        <v>353</v>
      </c>
      <c r="C171" s="7">
        <v>46100.0</v>
      </c>
      <c r="D171" s="6" t="s">
        <v>17</v>
      </c>
      <c r="E171" s="6" t="s">
        <v>111</v>
      </c>
      <c r="F171" s="6" t="s">
        <v>32</v>
      </c>
      <c r="G171" s="8">
        <v>1.0</v>
      </c>
      <c r="H171" s="8">
        <v>49.0</v>
      </c>
      <c r="I171" s="8">
        <v>0.13</v>
      </c>
      <c r="J171" s="8">
        <v>42.63</v>
      </c>
      <c r="K171" s="6" t="s">
        <v>20</v>
      </c>
      <c r="L171" s="8">
        <v>4.2</v>
      </c>
      <c r="M171" s="8">
        <v>38.0</v>
      </c>
      <c r="N171" s="6" t="s">
        <v>21</v>
      </c>
      <c r="O171" s="9"/>
    </row>
    <row r="172" ht="22.5" customHeight="1">
      <c r="A172" s="6" t="s">
        <v>354</v>
      </c>
      <c r="B172" s="6" t="s">
        <v>355</v>
      </c>
      <c r="C172" s="7">
        <v>46101.0</v>
      </c>
      <c r="D172" s="6" t="s">
        <v>41</v>
      </c>
      <c r="E172" s="6" t="s">
        <v>54</v>
      </c>
      <c r="F172" s="6" t="s">
        <v>19</v>
      </c>
      <c r="G172" s="8">
        <v>2.0</v>
      </c>
      <c r="H172" s="8">
        <v>699.0</v>
      </c>
      <c r="I172" s="8">
        <v>0.0</v>
      </c>
      <c r="J172" s="8">
        <v>1398.0</v>
      </c>
      <c r="K172" s="6" t="s">
        <v>51</v>
      </c>
      <c r="L172" s="8">
        <v>4.0</v>
      </c>
      <c r="M172" s="8">
        <v>50.0</v>
      </c>
      <c r="N172" s="6" t="s">
        <v>21</v>
      </c>
      <c r="O172" s="9"/>
    </row>
    <row r="173" ht="22.5" customHeight="1">
      <c r="A173" s="6" t="s">
        <v>356</v>
      </c>
      <c r="B173" s="6" t="s">
        <v>308</v>
      </c>
      <c r="C173" s="7">
        <v>46102.0</v>
      </c>
      <c r="D173" s="6" t="s">
        <v>17</v>
      </c>
      <c r="E173" s="6" t="s">
        <v>75</v>
      </c>
      <c r="F173" s="6" t="s">
        <v>57</v>
      </c>
      <c r="G173" s="8">
        <v>1.0</v>
      </c>
      <c r="H173" s="8">
        <v>249.0</v>
      </c>
      <c r="I173" s="8">
        <v>0.08</v>
      </c>
      <c r="J173" s="8">
        <v>229.08</v>
      </c>
      <c r="K173" s="6" t="s">
        <v>51</v>
      </c>
      <c r="L173" s="8">
        <v>3.6</v>
      </c>
      <c r="M173" s="8">
        <v>43.0</v>
      </c>
      <c r="N173" s="6" t="s">
        <v>21</v>
      </c>
      <c r="O173" s="9"/>
    </row>
    <row r="174" ht="22.5" customHeight="1">
      <c r="A174" s="6" t="s">
        <v>357</v>
      </c>
      <c r="B174" s="6" t="s">
        <v>358</v>
      </c>
      <c r="C174" s="7">
        <v>46103.0</v>
      </c>
      <c r="D174" s="6" t="s">
        <v>24</v>
      </c>
      <c r="E174" s="6" t="s">
        <v>140</v>
      </c>
      <c r="F174" s="6" t="s">
        <v>37</v>
      </c>
      <c r="G174" s="8">
        <v>3.0</v>
      </c>
      <c r="H174" s="8">
        <v>299.0</v>
      </c>
      <c r="I174" s="8">
        <v>0.11</v>
      </c>
      <c r="J174" s="8">
        <v>798.33</v>
      </c>
      <c r="K174" s="6" t="s">
        <v>33</v>
      </c>
      <c r="L174" s="8">
        <v>5.0</v>
      </c>
      <c r="M174" s="8">
        <v>42.0</v>
      </c>
      <c r="N174" s="6" t="s">
        <v>21</v>
      </c>
      <c r="O174" s="9"/>
    </row>
    <row r="175" ht="22.5" customHeight="1">
      <c r="A175" s="6" t="s">
        <v>359</v>
      </c>
      <c r="B175" s="6" t="s">
        <v>360</v>
      </c>
      <c r="C175" s="7">
        <v>46104.0</v>
      </c>
      <c r="D175" s="6" t="s">
        <v>24</v>
      </c>
      <c r="E175" s="6" t="s">
        <v>117</v>
      </c>
      <c r="F175" s="6" t="s">
        <v>37</v>
      </c>
      <c r="G175" s="8">
        <v>1.0</v>
      </c>
      <c r="H175" s="8">
        <v>299.0</v>
      </c>
      <c r="I175" s="8">
        <v>0.26</v>
      </c>
      <c r="J175" s="8">
        <v>221.26</v>
      </c>
      <c r="K175" s="6" t="s">
        <v>33</v>
      </c>
      <c r="L175" s="8">
        <v>4.1</v>
      </c>
      <c r="M175" s="8">
        <v>38.0</v>
      </c>
      <c r="N175" s="6" t="s">
        <v>21</v>
      </c>
      <c r="O175" s="9"/>
    </row>
    <row r="176" ht="22.5" customHeight="1">
      <c r="A176" s="6" t="s">
        <v>361</v>
      </c>
      <c r="B176" s="6" t="s">
        <v>344</v>
      </c>
      <c r="C176" s="7">
        <v>46105.0</v>
      </c>
      <c r="D176" s="6" t="s">
        <v>41</v>
      </c>
      <c r="E176" s="6" t="s">
        <v>94</v>
      </c>
      <c r="F176" s="6" t="s">
        <v>26</v>
      </c>
      <c r="G176" s="8">
        <v>2.0</v>
      </c>
      <c r="H176" s="8">
        <v>699.0</v>
      </c>
      <c r="I176" s="8">
        <v>0.16</v>
      </c>
      <c r="J176" s="8">
        <v>1174.32</v>
      </c>
      <c r="K176" s="6" t="s">
        <v>27</v>
      </c>
      <c r="L176" s="8">
        <v>3.8</v>
      </c>
      <c r="M176" s="8">
        <v>22.0</v>
      </c>
      <c r="N176" s="6" t="s">
        <v>21</v>
      </c>
      <c r="O176" s="9"/>
    </row>
    <row r="177" ht="22.5" customHeight="1">
      <c r="A177" s="6" t="s">
        <v>362</v>
      </c>
      <c r="B177" s="6" t="s">
        <v>93</v>
      </c>
      <c r="C177" s="7">
        <v>46106.0</v>
      </c>
      <c r="D177" s="6" t="s">
        <v>17</v>
      </c>
      <c r="E177" s="6" t="s">
        <v>75</v>
      </c>
      <c r="F177" s="6" t="s">
        <v>32</v>
      </c>
      <c r="G177" s="8">
        <v>1.0</v>
      </c>
      <c r="H177" s="8">
        <v>249.0</v>
      </c>
      <c r="I177" s="8">
        <v>0.26</v>
      </c>
      <c r="J177" s="8">
        <v>184.26</v>
      </c>
      <c r="K177" s="6" t="s">
        <v>33</v>
      </c>
      <c r="L177" s="8">
        <v>3.2</v>
      </c>
      <c r="M177" s="8">
        <v>44.0</v>
      </c>
      <c r="N177" s="6" t="s">
        <v>21</v>
      </c>
      <c r="O177" s="9"/>
    </row>
    <row r="178" ht="22.5" customHeight="1">
      <c r="A178" s="6" t="s">
        <v>363</v>
      </c>
      <c r="B178" s="6" t="s">
        <v>364</v>
      </c>
      <c r="C178" s="7">
        <v>46107.0</v>
      </c>
      <c r="D178" s="6" t="s">
        <v>17</v>
      </c>
      <c r="E178" s="6" t="s">
        <v>64</v>
      </c>
      <c r="F178" s="6" t="s">
        <v>37</v>
      </c>
      <c r="G178" s="8">
        <v>3.0</v>
      </c>
      <c r="H178" s="8">
        <v>999.0</v>
      </c>
      <c r="I178" s="8">
        <v>0.0</v>
      </c>
      <c r="J178" s="8">
        <v>2997.0</v>
      </c>
      <c r="K178" s="6" t="s">
        <v>20</v>
      </c>
      <c r="L178" s="8">
        <v>4.3</v>
      </c>
      <c r="M178" s="8">
        <v>40.0</v>
      </c>
      <c r="N178" s="6" t="s">
        <v>21</v>
      </c>
      <c r="O178" s="9"/>
    </row>
    <row r="179" ht="22.5" customHeight="1">
      <c r="A179" s="6" t="s">
        <v>365</v>
      </c>
      <c r="B179" s="6" t="s">
        <v>77</v>
      </c>
      <c r="C179" s="7">
        <v>46108.0</v>
      </c>
      <c r="D179" s="6" t="s">
        <v>30</v>
      </c>
      <c r="E179" s="6" t="s">
        <v>36</v>
      </c>
      <c r="F179" s="6" t="s">
        <v>32</v>
      </c>
      <c r="G179" s="8">
        <v>2.0</v>
      </c>
      <c r="H179" s="8">
        <v>199.0</v>
      </c>
      <c r="I179" s="8">
        <v>0.0</v>
      </c>
      <c r="J179" s="8">
        <v>398.0</v>
      </c>
      <c r="K179" s="6" t="s">
        <v>33</v>
      </c>
      <c r="L179" s="8">
        <v>4.5</v>
      </c>
      <c r="M179" s="8">
        <v>38.0</v>
      </c>
      <c r="N179" s="6" t="s">
        <v>21</v>
      </c>
      <c r="O179" s="9"/>
    </row>
    <row r="180" ht="22.5" customHeight="1">
      <c r="A180" s="6" t="s">
        <v>366</v>
      </c>
      <c r="B180" s="6" t="s">
        <v>16</v>
      </c>
      <c r="C180" s="7">
        <v>46109.0</v>
      </c>
      <c r="D180" s="6" t="s">
        <v>17</v>
      </c>
      <c r="E180" s="6" t="s">
        <v>18</v>
      </c>
      <c r="F180" s="6" t="s">
        <v>26</v>
      </c>
      <c r="G180" s="8">
        <v>4.0</v>
      </c>
      <c r="H180" s="8">
        <v>499.0</v>
      </c>
      <c r="I180" s="8">
        <v>0.22</v>
      </c>
      <c r="J180" s="8">
        <v>1556.88</v>
      </c>
      <c r="K180" s="6" t="s">
        <v>33</v>
      </c>
      <c r="L180" s="8">
        <v>4.9</v>
      </c>
      <c r="M180" s="8">
        <v>39.0</v>
      </c>
      <c r="N180" s="6" t="s">
        <v>21</v>
      </c>
      <c r="O180" s="9"/>
    </row>
    <row r="181" ht="22.5" customHeight="1">
      <c r="A181" s="6" t="s">
        <v>367</v>
      </c>
      <c r="B181" s="6" t="s">
        <v>368</v>
      </c>
      <c r="C181" s="7">
        <v>46110.0</v>
      </c>
      <c r="D181" s="6" t="s">
        <v>17</v>
      </c>
      <c r="E181" s="6" t="s">
        <v>111</v>
      </c>
      <c r="F181" s="6" t="s">
        <v>19</v>
      </c>
      <c r="G181" s="8">
        <v>2.0</v>
      </c>
      <c r="H181" s="8">
        <v>299.0</v>
      </c>
      <c r="I181" s="8">
        <v>0.19</v>
      </c>
      <c r="J181" s="8">
        <v>484.38</v>
      </c>
      <c r="K181" s="6" t="s">
        <v>27</v>
      </c>
      <c r="L181" s="8">
        <v>4.5</v>
      </c>
      <c r="M181" s="8">
        <v>42.0</v>
      </c>
      <c r="N181" s="6" t="s">
        <v>21</v>
      </c>
      <c r="O181" s="9"/>
    </row>
    <row r="182" ht="22.5" customHeight="1">
      <c r="A182" s="6" t="s">
        <v>369</v>
      </c>
      <c r="B182" s="6" t="s">
        <v>370</v>
      </c>
      <c r="C182" s="7">
        <v>46111.0</v>
      </c>
      <c r="D182" s="6" t="s">
        <v>24</v>
      </c>
      <c r="E182" s="6" t="s">
        <v>25</v>
      </c>
      <c r="F182" s="6" t="s">
        <v>37</v>
      </c>
      <c r="G182" s="8">
        <v>2.0</v>
      </c>
      <c r="H182" s="8">
        <v>249.0</v>
      </c>
      <c r="I182" s="8">
        <v>0.01</v>
      </c>
      <c r="J182" s="8">
        <v>493.02</v>
      </c>
      <c r="K182" s="6" t="s">
        <v>33</v>
      </c>
      <c r="L182" s="8">
        <v>3.5</v>
      </c>
      <c r="M182" s="8">
        <v>46.0</v>
      </c>
      <c r="N182" s="6" t="s">
        <v>21</v>
      </c>
      <c r="O182" s="9"/>
    </row>
    <row r="183" ht="22.5" customHeight="1">
      <c r="A183" s="6" t="s">
        <v>371</v>
      </c>
      <c r="B183" s="6" t="s">
        <v>372</v>
      </c>
      <c r="C183" s="7">
        <v>46112.0</v>
      </c>
      <c r="D183" s="6" t="s">
        <v>24</v>
      </c>
      <c r="E183" s="6" t="s">
        <v>48</v>
      </c>
      <c r="F183" s="6" t="s">
        <v>57</v>
      </c>
      <c r="G183" s="8">
        <v>2.0</v>
      </c>
      <c r="H183" s="8">
        <v>149.0</v>
      </c>
      <c r="I183" s="8">
        <v>0.16</v>
      </c>
      <c r="J183" s="8">
        <v>250.32</v>
      </c>
      <c r="K183" s="6" t="s">
        <v>33</v>
      </c>
      <c r="L183" s="8">
        <v>4.4</v>
      </c>
      <c r="M183" s="8">
        <v>27.0</v>
      </c>
      <c r="N183" s="6" t="s">
        <v>21</v>
      </c>
      <c r="O183" s="9"/>
    </row>
    <row r="184" ht="22.5" customHeight="1">
      <c r="A184" s="6" t="s">
        <v>373</v>
      </c>
      <c r="B184" s="6" t="s">
        <v>374</v>
      </c>
      <c r="C184" s="7">
        <v>46113.0</v>
      </c>
      <c r="D184" s="6" t="s">
        <v>30</v>
      </c>
      <c r="E184" s="6" t="s">
        <v>31</v>
      </c>
      <c r="F184" s="6" t="s">
        <v>19</v>
      </c>
      <c r="G184" s="8">
        <v>4.0</v>
      </c>
      <c r="H184" s="8">
        <v>499.0</v>
      </c>
      <c r="I184" s="8">
        <v>0.08</v>
      </c>
      <c r="J184" s="8">
        <v>1836.32</v>
      </c>
      <c r="K184" s="6" t="s">
        <v>51</v>
      </c>
      <c r="L184" s="8">
        <v>3.8</v>
      </c>
      <c r="M184" s="8">
        <v>30.0</v>
      </c>
      <c r="N184" s="6" t="s">
        <v>21</v>
      </c>
      <c r="O184" s="9"/>
    </row>
    <row r="185" ht="22.5" customHeight="1">
      <c r="A185" s="6" t="s">
        <v>375</v>
      </c>
      <c r="B185" s="6" t="s">
        <v>376</v>
      </c>
      <c r="C185" s="7">
        <v>46114.0</v>
      </c>
      <c r="D185" s="6" t="s">
        <v>41</v>
      </c>
      <c r="E185" s="6" t="s">
        <v>54</v>
      </c>
      <c r="F185" s="6" t="s">
        <v>19</v>
      </c>
      <c r="G185" s="8">
        <v>1.0</v>
      </c>
      <c r="H185" s="8">
        <v>49.0</v>
      </c>
      <c r="I185" s="8">
        <v>0.19</v>
      </c>
      <c r="J185" s="8">
        <v>39.69</v>
      </c>
      <c r="K185" s="6" t="s">
        <v>27</v>
      </c>
      <c r="L185" s="8">
        <v>5.0</v>
      </c>
      <c r="M185" s="8">
        <v>44.0</v>
      </c>
      <c r="N185" s="6" t="s">
        <v>21</v>
      </c>
      <c r="O185" s="9"/>
    </row>
    <row r="186" ht="22.5" customHeight="1">
      <c r="A186" s="6" t="s">
        <v>377</v>
      </c>
      <c r="B186" s="6" t="s">
        <v>378</v>
      </c>
      <c r="C186" s="7">
        <v>46115.0</v>
      </c>
      <c r="D186" s="6" t="s">
        <v>17</v>
      </c>
      <c r="E186" s="6" t="s">
        <v>18</v>
      </c>
      <c r="F186" s="6" t="s">
        <v>65</v>
      </c>
      <c r="G186" s="8">
        <v>1.0</v>
      </c>
      <c r="H186" s="8">
        <v>199.0</v>
      </c>
      <c r="I186" s="8">
        <v>0.17</v>
      </c>
      <c r="J186" s="8">
        <v>165.17</v>
      </c>
      <c r="K186" s="6" t="s">
        <v>51</v>
      </c>
      <c r="L186" s="8">
        <v>4.4</v>
      </c>
      <c r="M186" s="8">
        <v>36.0</v>
      </c>
      <c r="N186" s="6" t="s">
        <v>21</v>
      </c>
      <c r="O186" s="9"/>
    </row>
    <row r="187" ht="22.5" customHeight="1">
      <c r="A187" s="6" t="s">
        <v>379</v>
      </c>
      <c r="B187" s="6" t="s">
        <v>380</v>
      </c>
      <c r="C187" s="7">
        <v>46116.0</v>
      </c>
      <c r="D187" s="6" t="s">
        <v>30</v>
      </c>
      <c r="E187" s="6" t="s">
        <v>36</v>
      </c>
      <c r="F187" s="6" t="s">
        <v>65</v>
      </c>
      <c r="G187" s="8">
        <v>5.0</v>
      </c>
      <c r="H187" s="8">
        <v>1999.0</v>
      </c>
      <c r="I187" s="8">
        <v>0.2</v>
      </c>
      <c r="J187" s="8">
        <v>7996.0</v>
      </c>
      <c r="K187" s="6" t="s">
        <v>51</v>
      </c>
      <c r="L187" s="8">
        <v>4.3</v>
      </c>
      <c r="M187" s="8">
        <v>49.0</v>
      </c>
      <c r="N187" s="6" t="s">
        <v>21</v>
      </c>
      <c r="O187" s="9"/>
    </row>
    <row r="188" ht="22.5" customHeight="1">
      <c r="A188" s="6" t="s">
        <v>381</v>
      </c>
      <c r="B188" s="6" t="s">
        <v>382</v>
      </c>
      <c r="C188" s="7">
        <v>46117.0</v>
      </c>
      <c r="D188" s="6" t="s">
        <v>17</v>
      </c>
      <c r="E188" s="6" t="s">
        <v>111</v>
      </c>
      <c r="F188" s="6" t="s">
        <v>19</v>
      </c>
      <c r="G188" s="8">
        <v>4.0</v>
      </c>
      <c r="H188" s="8">
        <v>1999.0</v>
      </c>
      <c r="I188" s="8">
        <v>0.16</v>
      </c>
      <c r="J188" s="8">
        <v>6716.64</v>
      </c>
      <c r="K188" s="6" t="s">
        <v>27</v>
      </c>
      <c r="L188" s="8">
        <v>4.9</v>
      </c>
      <c r="M188" s="8">
        <v>31.0</v>
      </c>
      <c r="N188" s="6" t="s">
        <v>21</v>
      </c>
      <c r="O188" s="9"/>
    </row>
    <row r="189" ht="22.5" customHeight="1">
      <c r="A189" s="6" t="s">
        <v>383</v>
      </c>
      <c r="B189" s="6" t="s">
        <v>99</v>
      </c>
      <c r="C189" s="7">
        <v>46118.0</v>
      </c>
      <c r="D189" s="6" t="s">
        <v>24</v>
      </c>
      <c r="E189" s="6" t="s">
        <v>140</v>
      </c>
      <c r="F189" s="6" t="s">
        <v>65</v>
      </c>
      <c r="G189" s="8">
        <v>3.0</v>
      </c>
      <c r="H189" s="8">
        <v>999.0</v>
      </c>
      <c r="I189" s="8">
        <v>0.05</v>
      </c>
      <c r="J189" s="8">
        <v>2847.15</v>
      </c>
      <c r="K189" s="6" t="s">
        <v>33</v>
      </c>
      <c r="L189" s="8">
        <v>4.2</v>
      </c>
      <c r="M189" s="8">
        <v>43.0</v>
      </c>
      <c r="N189" s="6" t="s">
        <v>21</v>
      </c>
      <c r="O189" s="9"/>
    </row>
    <row r="190" ht="22.5" customHeight="1">
      <c r="A190" s="6" t="s">
        <v>384</v>
      </c>
      <c r="B190" s="6" t="s">
        <v>132</v>
      </c>
      <c r="C190" s="7">
        <v>46119.0</v>
      </c>
      <c r="D190" s="6" t="s">
        <v>24</v>
      </c>
      <c r="E190" s="6" t="s">
        <v>48</v>
      </c>
      <c r="F190" s="6" t="s">
        <v>19</v>
      </c>
      <c r="G190" s="8">
        <v>4.0</v>
      </c>
      <c r="H190" s="8">
        <v>499.0</v>
      </c>
      <c r="I190" s="8">
        <v>0.05</v>
      </c>
      <c r="J190" s="8">
        <v>1896.2</v>
      </c>
      <c r="K190" s="6" t="s">
        <v>20</v>
      </c>
      <c r="L190" s="8">
        <v>4.2</v>
      </c>
      <c r="M190" s="8">
        <v>28.0</v>
      </c>
      <c r="N190" s="6" t="s">
        <v>21</v>
      </c>
      <c r="O190" s="9"/>
    </row>
    <row r="191" ht="22.5" customHeight="1">
      <c r="A191" s="6" t="s">
        <v>385</v>
      </c>
      <c r="B191" s="6" t="s">
        <v>218</v>
      </c>
      <c r="C191" s="7">
        <v>46120.0</v>
      </c>
      <c r="D191" s="6" t="s">
        <v>17</v>
      </c>
      <c r="E191" s="6" t="s">
        <v>75</v>
      </c>
      <c r="F191" s="6" t="s">
        <v>57</v>
      </c>
      <c r="G191" s="8">
        <v>4.0</v>
      </c>
      <c r="H191" s="8">
        <v>999.0</v>
      </c>
      <c r="I191" s="8">
        <v>0.23</v>
      </c>
      <c r="J191" s="8">
        <v>3076.92</v>
      </c>
      <c r="K191" s="6" t="s">
        <v>20</v>
      </c>
      <c r="L191" s="8">
        <v>4.6</v>
      </c>
      <c r="M191" s="8">
        <v>51.0</v>
      </c>
      <c r="N191" s="6" t="s">
        <v>21</v>
      </c>
      <c r="O191" s="9"/>
    </row>
    <row r="192" ht="22.5" customHeight="1">
      <c r="A192" s="6" t="s">
        <v>386</v>
      </c>
      <c r="B192" s="6" t="s">
        <v>387</v>
      </c>
      <c r="C192" s="7">
        <v>46121.0</v>
      </c>
      <c r="D192" s="6" t="s">
        <v>17</v>
      </c>
      <c r="E192" s="6" t="s">
        <v>111</v>
      </c>
      <c r="F192" s="6" t="s">
        <v>65</v>
      </c>
      <c r="G192" s="8">
        <v>1.0</v>
      </c>
      <c r="H192" s="8">
        <v>249.0</v>
      </c>
      <c r="I192" s="8">
        <v>0.0</v>
      </c>
      <c r="J192" s="8">
        <v>249.0</v>
      </c>
      <c r="K192" s="6" t="s">
        <v>20</v>
      </c>
      <c r="L192" s="8">
        <v>4.5</v>
      </c>
      <c r="M192" s="8">
        <v>33.0</v>
      </c>
      <c r="N192" s="6" t="s">
        <v>21</v>
      </c>
      <c r="O192" s="9"/>
    </row>
    <row r="193" ht="22.5" customHeight="1">
      <c r="A193" s="6" t="s">
        <v>388</v>
      </c>
      <c r="B193" s="6" t="s">
        <v>276</v>
      </c>
      <c r="C193" s="7">
        <v>46122.0</v>
      </c>
      <c r="D193" s="6" t="s">
        <v>17</v>
      </c>
      <c r="E193" s="6" t="s">
        <v>111</v>
      </c>
      <c r="F193" s="6" t="s">
        <v>57</v>
      </c>
      <c r="G193" s="8">
        <v>2.0</v>
      </c>
      <c r="H193" s="8">
        <v>699.0</v>
      </c>
      <c r="I193" s="8">
        <v>0.07</v>
      </c>
      <c r="J193" s="8">
        <v>1300.14</v>
      </c>
      <c r="K193" s="6" t="s">
        <v>27</v>
      </c>
      <c r="L193" s="8">
        <v>4.3</v>
      </c>
      <c r="M193" s="8">
        <v>36.0</v>
      </c>
      <c r="N193" s="6" t="s">
        <v>21</v>
      </c>
      <c r="O193" s="9"/>
    </row>
    <row r="194" ht="22.5" customHeight="1">
      <c r="A194" s="6" t="s">
        <v>389</v>
      </c>
      <c r="B194" s="6" t="s">
        <v>390</v>
      </c>
      <c r="C194" s="7">
        <v>46123.0</v>
      </c>
      <c r="D194" s="6" t="s">
        <v>41</v>
      </c>
      <c r="E194" s="6" t="s">
        <v>42</v>
      </c>
      <c r="F194" s="6" t="s">
        <v>57</v>
      </c>
      <c r="G194" s="8">
        <v>1.0</v>
      </c>
      <c r="H194" s="8">
        <v>49.0</v>
      </c>
      <c r="I194" s="8">
        <v>0.08</v>
      </c>
      <c r="J194" s="8">
        <v>45.08</v>
      </c>
      <c r="K194" s="6" t="s">
        <v>33</v>
      </c>
      <c r="L194" s="8">
        <v>3.8</v>
      </c>
      <c r="M194" s="8">
        <v>36.0</v>
      </c>
      <c r="N194" s="6" t="s">
        <v>21</v>
      </c>
      <c r="O194" s="9"/>
    </row>
    <row r="195" ht="22.5" customHeight="1">
      <c r="A195" s="6" t="s">
        <v>391</v>
      </c>
      <c r="B195" s="6" t="s">
        <v>392</v>
      </c>
      <c r="C195" s="7">
        <v>46124.0</v>
      </c>
      <c r="D195" s="6" t="s">
        <v>24</v>
      </c>
      <c r="E195" s="6" t="s">
        <v>117</v>
      </c>
      <c r="F195" s="6" t="s">
        <v>65</v>
      </c>
      <c r="G195" s="8">
        <v>1.0</v>
      </c>
      <c r="H195" s="8">
        <v>1499.0</v>
      </c>
      <c r="I195" s="8">
        <v>0.1</v>
      </c>
      <c r="J195" s="8">
        <v>1349.1</v>
      </c>
      <c r="K195" s="6" t="s">
        <v>27</v>
      </c>
      <c r="L195" s="8">
        <v>3.5</v>
      </c>
      <c r="M195" s="8">
        <v>32.0</v>
      </c>
      <c r="N195" s="6" t="s">
        <v>21</v>
      </c>
      <c r="O195" s="9"/>
    </row>
    <row r="196" ht="22.5" customHeight="1">
      <c r="A196" s="6" t="s">
        <v>393</v>
      </c>
      <c r="B196" s="6" t="s">
        <v>288</v>
      </c>
      <c r="C196" s="7">
        <v>46125.0</v>
      </c>
      <c r="D196" s="6" t="s">
        <v>30</v>
      </c>
      <c r="E196" s="6" t="s">
        <v>86</v>
      </c>
      <c r="F196" s="6" t="s">
        <v>19</v>
      </c>
      <c r="G196" s="8">
        <v>2.0</v>
      </c>
      <c r="H196" s="8">
        <v>1999.0</v>
      </c>
      <c r="I196" s="8">
        <v>0.13</v>
      </c>
      <c r="J196" s="8">
        <v>3478.26</v>
      </c>
      <c r="K196" s="6" t="s">
        <v>33</v>
      </c>
      <c r="L196" s="8">
        <v>4.0</v>
      </c>
      <c r="M196" s="8">
        <v>53.0</v>
      </c>
      <c r="N196" s="6" t="s">
        <v>21</v>
      </c>
      <c r="O196" s="9"/>
    </row>
    <row r="197" ht="22.5" customHeight="1">
      <c r="A197" s="6" t="s">
        <v>394</v>
      </c>
      <c r="B197" s="6" t="s">
        <v>395</v>
      </c>
      <c r="C197" s="7">
        <v>46126.0</v>
      </c>
      <c r="D197" s="6" t="s">
        <v>24</v>
      </c>
      <c r="E197" s="6" t="s">
        <v>140</v>
      </c>
      <c r="F197" s="6" t="s">
        <v>65</v>
      </c>
      <c r="G197" s="8">
        <v>3.0</v>
      </c>
      <c r="H197" s="8">
        <v>1999.0</v>
      </c>
      <c r="I197" s="8">
        <v>0.01</v>
      </c>
      <c r="J197" s="8">
        <v>5937.03</v>
      </c>
      <c r="K197" s="6" t="s">
        <v>33</v>
      </c>
      <c r="L197" s="8">
        <v>4.7</v>
      </c>
      <c r="M197" s="8">
        <v>52.0</v>
      </c>
      <c r="N197" s="6" t="s">
        <v>21</v>
      </c>
      <c r="O197" s="9"/>
    </row>
    <row r="198" ht="22.5" customHeight="1">
      <c r="A198" s="6" t="s">
        <v>396</v>
      </c>
      <c r="B198" s="6" t="s">
        <v>397</v>
      </c>
      <c r="C198" s="7">
        <v>46127.0</v>
      </c>
      <c r="D198" s="6" t="s">
        <v>17</v>
      </c>
      <c r="E198" s="6" t="s">
        <v>64</v>
      </c>
      <c r="F198" s="6" t="s">
        <v>32</v>
      </c>
      <c r="G198" s="8">
        <v>1.0</v>
      </c>
      <c r="H198" s="8">
        <v>149.0</v>
      </c>
      <c r="I198" s="8">
        <v>0.1</v>
      </c>
      <c r="J198" s="8">
        <v>134.1</v>
      </c>
      <c r="K198" s="6" t="s">
        <v>20</v>
      </c>
      <c r="L198" s="8">
        <v>4.2</v>
      </c>
      <c r="M198" s="8">
        <v>46.0</v>
      </c>
      <c r="N198" s="6" t="s">
        <v>21</v>
      </c>
      <c r="O198" s="9"/>
    </row>
    <row r="199" ht="22.5" customHeight="1">
      <c r="A199" s="6" t="s">
        <v>398</v>
      </c>
      <c r="B199" s="6" t="s">
        <v>399</v>
      </c>
      <c r="C199" s="7">
        <v>46128.0</v>
      </c>
      <c r="D199" s="6" t="s">
        <v>17</v>
      </c>
      <c r="E199" s="6" t="s">
        <v>111</v>
      </c>
      <c r="F199" s="6" t="s">
        <v>19</v>
      </c>
      <c r="G199" s="8">
        <v>1.0</v>
      </c>
      <c r="H199" s="8">
        <v>199.0</v>
      </c>
      <c r="I199" s="8">
        <v>0.01</v>
      </c>
      <c r="J199" s="8">
        <v>197.01</v>
      </c>
      <c r="K199" s="6" t="s">
        <v>20</v>
      </c>
      <c r="L199" s="8">
        <v>5.0</v>
      </c>
      <c r="M199" s="8">
        <v>17.0</v>
      </c>
      <c r="N199" s="6" t="s">
        <v>21</v>
      </c>
      <c r="O199" s="9"/>
    </row>
    <row r="200" ht="22.5" customHeight="1">
      <c r="A200" s="6" t="s">
        <v>400</v>
      </c>
      <c r="B200" s="6" t="s">
        <v>401</v>
      </c>
      <c r="C200" s="7">
        <v>46129.0</v>
      </c>
      <c r="D200" s="6" t="s">
        <v>17</v>
      </c>
      <c r="E200" s="6" t="s">
        <v>64</v>
      </c>
      <c r="F200" s="6" t="s">
        <v>57</v>
      </c>
      <c r="G200" s="8">
        <v>1.0</v>
      </c>
      <c r="H200" s="8">
        <v>249.0</v>
      </c>
      <c r="I200" s="8">
        <v>0.12</v>
      </c>
      <c r="J200" s="8">
        <v>219.12</v>
      </c>
      <c r="K200" s="6" t="s">
        <v>27</v>
      </c>
      <c r="L200" s="8">
        <v>4.1</v>
      </c>
      <c r="M200" s="8">
        <v>39.0</v>
      </c>
      <c r="N200" s="6" t="s">
        <v>21</v>
      </c>
      <c r="O200" s="9"/>
    </row>
    <row r="201" ht="22.5" customHeight="1">
      <c r="A201" s="6" t="s">
        <v>402</v>
      </c>
      <c r="B201" s="6" t="s">
        <v>403</v>
      </c>
      <c r="C201" s="7">
        <v>46130.0</v>
      </c>
      <c r="D201" s="6" t="s">
        <v>41</v>
      </c>
      <c r="E201" s="6" t="s">
        <v>42</v>
      </c>
      <c r="F201" s="6" t="s">
        <v>19</v>
      </c>
      <c r="G201" s="8">
        <v>5.0</v>
      </c>
      <c r="H201" s="8">
        <v>699.0</v>
      </c>
      <c r="I201" s="8">
        <v>0.1</v>
      </c>
      <c r="J201" s="8">
        <v>3145.5</v>
      </c>
      <c r="K201" s="6" t="s">
        <v>27</v>
      </c>
      <c r="L201" s="8">
        <v>4.2</v>
      </c>
      <c r="M201" s="8">
        <v>46.0</v>
      </c>
      <c r="N201" s="6" t="s">
        <v>21</v>
      </c>
      <c r="O201" s="9"/>
    </row>
    <row r="202" ht="22.5" customHeight="1">
      <c r="A202" s="6" t="s">
        <v>404</v>
      </c>
      <c r="B202" s="6" t="s">
        <v>158</v>
      </c>
      <c r="C202" s="7">
        <v>46131.0</v>
      </c>
      <c r="D202" s="6" t="s">
        <v>24</v>
      </c>
      <c r="E202" s="6" t="s">
        <v>48</v>
      </c>
      <c r="F202" s="6" t="s">
        <v>26</v>
      </c>
      <c r="G202" s="8">
        <v>1.0</v>
      </c>
      <c r="H202" s="8">
        <v>1499.0</v>
      </c>
      <c r="I202" s="8">
        <v>0.02</v>
      </c>
      <c r="J202" s="8">
        <v>1469.02</v>
      </c>
      <c r="K202" s="6" t="s">
        <v>20</v>
      </c>
      <c r="L202" s="8">
        <v>4.4</v>
      </c>
      <c r="M202" s="8">
        <v>53.0</v>
      </c>
      <c r="N202" s="6" t="s">
        <v>21</v>
      </c>
      <c r="O202" s="9"/>
    </row>
    <row r="203" ht="22.5" customHeight="1">
      <c r="A203" s="6" t="s">
        <v>405</v>
      </c>
      <c r="B203" s="6" t="s">
        <v>355</v>
      </c>
      <c r="C203" s="7">
        <v>46132.0</v>
      </c>
      <c r="D203" s="6" t="s">
        <v>17</v>
      </c>
      <c r="E203" s="6" t="s">
        <v>111</v>
      </c>
      <c r="F203" s="6" t="s">
        <v>65</v>
      </c>
      <c r="G203" s="8">
        <v>1.0</v>
      </c>
      <c r="H203" s="8">
        <v>1999.0</v>
      </c>
      <c r="I203" s="8">
        <v>0.28</v>
      </c>
      <c r="J203" s="8">
        <v>1439.28</v>
      </c>
      <c r="K203" s="6" t="s">
        <v>20</v>
      </c>
      <c r="L203" s="8">
        <v>3.7</v>
      </c>
      <c r="M203" s="8">
        <v>18.0</v>
      </c>
      <c r="N203" s="6" t="s">
        <v>21</v>
      </c>
      <c r="O203" s="9"/>
    </row>
    <row r="204" ht="22.5" customHeight="1">
      <c r="A204" s="6" t="s">
        <v>406</v>
      </c>
      <c r="B204" s="6" t="s">
        <v>407</v>
      </c>
      <c r="C204" s="7">
        <v>46133.0</v>
      </c>
      <c r="D204" s="6" t="s">
        <v>17</v>
      </c>
      <c r="E204" s="6" t="s">
        <v>18</v>
      </c>
      <c r="F204" s="6" t="s">
        <v>57</v>
      </c>
      <c r="G204" s="8">
        <v>3.0</v>
      </c>
      <c r="H204" s="8">
        <v>49.0</v>
      </c>
      <c r="I204" s="8">
        <v>0.18</v>
      </c>
      <c r="J204" s="8">
        <v>120.54</v>
      </c>
      <c r="K204" s="6" t="s">
        <v>51</v>
      </c>
      <c r="L204" s="8">
        <v>5.0</v>
      </c>
      <c r="M204" s="8">
        <v>23.0</v>
      </c>
      <c r="N204" s="6" t="s">
        <v>38</v>
      </c>
      <c r="O204" s="9"/>
    </row>
    <row r="205" ht="22.5" customHeight="1">
      <c r="A205" s="6" t="s">
        <v>408</v>
      </c>
      <c r="B205" s="6" t="s">
        <v>409</v>
      </c>
      <c r="C205" s="7">
        <v>46134.0</v>
      </c>
      <c r="D205" s="6" t="s">
        <v>24</v>
      </c>
      <c r="E205" s="6" t="s">
        <v>117</v>
      </c>
      <c r="F205" s="6" t="s">
        <v>26</v>
      </c>
      <c r="G205" s="8">
        <v>4.0</v>
      </c>
      <c r="H205" s="8">
        <v>199.0</v>
      </c>
      <c r="I205" s="8">
        <v>0.09</v>
      </c>
      <c r="J205" s="8">
        <v>724.36</v>
      </c>
      <c r="K205" s="6" t="s">
        <v>33</v>
      </c>
      <c r="L205" s="8">
        <v>4.0</v>
      </c>
      <c r="M205" s="8">
        <v>32.0</v>
      </c>
      <c r="N205" s="6" t="s">
        <v>38</v>
      </c>
      <c r="O205" s="9"/>
    </row>
    <row r="206" ht="22.5" customHeight="1">
      <c r="A206" s="6" t="s">
        <v>410</v>
      </c>
      <c r="B206" s="6" t="s">
        <v>411</v>
      </c>
      <c r="C206" s="7">
        <v>46135.0</v>
      </c>
      <c r="D206" s="6" t="s">
        <v>41</v>
      </c>
      <c r="E206" s="6" t="s">
        <v>42</v>
      </c>
      <c r="F206" s="6" t="s">
        <v>26</v>
      </c>
      <c r="G206" s="8">
        <v>3.0</v>
      </c>
      <c r="H206" s="8">
        <v>99.0</v>
      </c>
      <c r="I206" s="8">
        <v>0.09</v>
      </c>
      <c r="J206" s="8">
        <v>270.27</v>
      </c>
      <c r="K206" s="6" t="s">
        <v>20</v>
      </c>
      <c r="L206" s="8">
        <v>3.3</v>
      </c>
      <c r="M206" s="8">
        <v>49.0</v>
      </c>
      <c r="N206" s="6" t="s">
        <v>21</v>
      </c>
      <c r="O206" s="9"/>
    </row>
    <row r="207" ht="22.5" customHeight="1">
      <c r="A207" s="6" t="s">
        <v>412</v>
      </c>
      <c r="B207" s="6" t="s">
        <v>413</v>
      </c>
      <c r="C207" s="7">
        <v>46136.0</v>
      </c>
      <c r="D207" s="6" t="s">
        <v>24</v>
      </c>
      <c r="E207" s="6" t="s">
        <v>48</v>
      </c>
      <c r="F207" s="6" t="s">
        <v>32</v>
      </c>
      <c r="G207" s="8">
        <v>1.0</v>
      </c>
      <c r="H207" s="8">
        <v>499.0</v>
      </c>
      <c r="I207" s="8">
        <v>0.13</v>
      </c>
      <c r="J207" s="8">
        <v>434.13</v>
      </c>
      <c r="K207" s="6" t="s">
        <v>51</v>
      </c>
      <c r="L207" s="8">
        <v>4.6</v>
      </c>
      <c r="M207" s="8">
        <v>23.0</v>
      </c>
      <c r="N207" s="6" t="s">
        <v>21</v>
      </c>
      <c r="O207" s="9"/>
    </row>
    <row r="208" ht="22.5" customHeight="1">
      <c r="A208" s="6" t="s">
        <v>414</v>
      </c>
      <c r="B208" s="6" t="s">
        <v>415</v>
      </c>
      <c r="C208" s="7">
        <v>46137.0</v>
      </c>
      <c r="D208" s="6" t="s">
        <v>30</v>
      </c>
      <c r="E208" s="6" t="s">
        <v>70</v>
      </c>
      <c r="F208" s="6" t="s">
        <v>37</v>
      </c>
      <c r="G208" s="8">
        <v>4.0</v>
      </c>
      <c r="H208" s="8">
        <v>999.0</v>
      </c>
      <c r="I208" s="8">
        <v>0.01</v>
      </c>
      <c r="J208" s="8">
        <v>3956.04</v>
      </c>
      <c r="K208" s="6" t="s">
        <v>51</v>
      </c>
      <c r="L208" s="8">
        <v>3.7</v>
      </c>
      <c r="M208" s="8">
        <v>30.0</v>
      </c>
      <c r="N208" s="6" t="s">
        <v>21</v>
      </c>
      <c r="O208" s="9"/>
    </row>
    <row r="209" ht="22.5" customHeight="1">
      <c r="A209" s="6" t="s">
        <v>416</v>
      </c>
      <c r="B209" s="6" t="s">
        <v>417</v>
      </c>
      <c r="C209" s="7">
        <v>46138.0</v>
      </c>
      <c r="D209" s="6" t="s">
        <v>30</v>
      </c>
      <c r="E209" s="6" t="s">
        <v>86</v>
      </c>
      <c r="F209" s="6" t="s">
        <v>26</v>
      </c>
      <c r="G209" s="8">
        <v>2.0</v>
      </c>
      <c r="H209" s="8">
        <v>49.0</v>
      </c>
      <c r="I209" s="8">
        <v>0.01</v>
      </c>
      <c r="J209" s="8">
        <v>97.02</v>
      </c>
      <c r="K209" s="6" t="s">
        <v>20</v>
      </c>
      <c r="L209" s="8">
        <v>5.0</v>
      </c>
      <c r="M209" s="8">
        <v>35.0</v>
      </c>
      <c r="N209" s="6" t="s">
        <v>21</v>
      </c>
      <c r="O209" s="9"/>
    </row>
    <row r="210" ht="22.5" customHeight="1">
      <c r="A210" s="6" t="s">
        <v>418</v>
      </c>
      <c r="B210" s="6" t="s">
        <v>419</v>
      </c>
      <c r="C210" s="7">
        <v>46139.0</v>
      </c>
      <c r="D210" s="6" t="s">
        <v>17</v>
      </c>
      <c r="E210" s="6" t="s">
        <v>64</v>
      </c>
      <c r="F210" s="6" t="s">
        <v>32</v>
      </c>
      <c r="G210" s="8">
        <v>2.0</v>
      </c>
      <c r="H210" s="8">
        <v>199.0</v>
      </c>
      <c r="I210" s="8">
        <v>0.12</v>
      </c>
      <c r="J210" s="8">
        <v>350.24</v>
      </c>
      <c r="K210" s="6" t="s">
        <v>20</v>
      </c>
      <c r="L210" s="8">
        <v>4.3</v>
      </c>
      <c r="M210" s="8">
        <v>35.0</v>
      </c>
      <c r="N210" s="6" t="s">
        <v>21</v>
      </c>
      <c r="O210" s="9"/>
    </row>
    <row r="211" ht="22.5" customHeight="1">
      <c r="A211" s="6" t="s">
        <v>420</v>
      </c>
      <c r="B211" s="6" t="s">
        <v>421</v>
      </c>
      <c r="C211" s="7">
        <v>46140.0</v>
      </c>
      <c r="D211" s="6" t="s">
        <v>24</v>
      </c>
      <c r="E211" s="6" t="s">
        <v>117</v>
      </c>
      <c r="F211" s="6" t="s">
        <v>37</v>
      </c>
      <c r="G211" s="8">
        <v>3.0</v>
      </c>
      <c r="H211" s="8">
        <v>199.0</v>
      </c>
      <c r="I211" s="8">
        <v>0.17</v>
      </c>
      <c r="J211" s="8">
        <v>495.51</v>
      </c>
      <c r="K211" s="6" t="s">
        <v>51</v>
      </c>
      <c r="L211" s="8">
        <v>4.2</v>
      </c>
      <c r="M211" s="8">
        <v>36.0</v>
      </c>
      <c r="N211" s="6" t="s">
        <v>21</v>
      </c>
      <c r="O211" s="9"/>
    </row>
    <row r="212" ht="22.5" customHeight="1">
      <c r="A212" s="6" t="s">
        <v>422</v>
      </c>
      <c r="B212" s="6" t="s">
        <v>423</v>
      </c>
      <c r="C212" s="7">
        <v>46141.0</v>
      </c>
      <c r="D212" s="6" t="s">
        <v>30</v>
      </c>
      <c r="E212" s="6" t="s">
        <v>86</v>
      </c>
      <c r="F212" s="6" t="s">
        <v>57</v>
      </c>
      <c r="G212" s="8">
        <v>3.0</v>
      </c>
      <c r="H212" s="8">
        <v>249.0</v>
      </c>
      <c r="I212" s="8">
        <v>0.27</v>
      </c>
      <c r="J212" s="8">
        <v>545.31</v>
      </c>
      <c r="K212" s="6" t="s">
        <v>20</v>
      </c>
      <c r="L212" s="8">
        <v>4.5</v>
      </c>
      <c r="M212" s="8">
        <v>39.0</v>
      </c>
      <c r="N212" s="6" t="s">
        <v>21</v>
      </c>
      <c r="O212" s="9"/>
    </row>
    <row r="213" ht="22.5" customHeight="1">
      <c r="A213" s="6" t="s">
        <v>424</v>
      </c>
      <c r="B213" s="6" t="s">
        <v>425</v>
      </c>
      <c r="C213" s="7">
        <v>46142.0</v>
      </c>
      <c r="D213" s="6" t="s">
        <v>17</v>
      </c>
      <c r="E213" s="6" t="s">
        <v>111</v>
      </c>
      <c r="F213" s="6" t="s">
        <v>65</v>
      </c>
      <c r="G213" s="8">
        <v>4.0</v>
      </c>
      <c r="H213" s="8">
        <v>249.0</v>
      </c>
      <c r="I213" s="8">
        <v>0.09</v>
      </c>
      <c r="J213" s="8">
        <v>906.36</v>
      </c>
      <c r="K213" s="6" t="s">
        <v>33</v>
      </c>
      <c r="L213" s="8">
        <v>5.0</v>
      </c>
      <c r="M213" s="8">
        <v>38.0</v>
      </c>
      <c r="N213" s="6" t="s">
        <v>21</v>
      </c>
      <c r="O213" s="9"/>
    </row>
    <row r="214" ht="22.5" customHeight="1">
      <c r="A214" s="6" t="s">
        <v>426</v>
      </c>
      <c r="B214" s="6" t="s">
        <v>427</v>
      </c>
      <c r="C214" s="7">
        <v>46143.0</v>
      </c>
      <c r="D214" s="6" t="s">
        <v>30</v>
      </c>
      <c r="E214" s="6" t="s">
        <v>31</v>
      </c>
      <c r="F214" s="6" t="s">
        <v>57</v>
      </c>
      <c r="G214" s="8">
        <v>3.0</v>
      </c>
      <c r="H214" s="8">
        <v>49.0</v>
      </c>
      <c r="I214" s="8">
        <v>0.33</v>
      </c>
      <c r="J214" s="8">
        <v>98.49</v>
      </c>
      <c r="K214" s="6" t="s">
        <v>27</v>
      </c>
      <c r="L214" s="8">
        <v>4.2</v>
      </c>
      <c r="M214" s="8">
        <v>29.0</v>
      </c>
      <c r="N214" s="6" t="s">
        <v>21</v>
      </c>
      <c r="O214" s="9"/>
    </row>
    <row r="215" ht="22.5" customHeight="1">
      <c r="A215" s="6" t="s">
        <v>428</v>
      </c>
      <c r="B215" s="6" t="s">
        <v>429</v>
      </c>
      <c r="C215" s="7">
        <v>46144.0</v>
      </c>
      <c r="D215" s="6" t="s">
        <v>17</v>
      </c>
      <c r="E215" s="6" t="s">
        <v>64</v>
      </c>
      <c r="F215" s="6" t="s">
        <v>37</v>
      </c>
      <c r="G215" s="8">
        <v>4.0</v>
      </c>
      <c r="H215" s="8">
        <v>249.0</v>
      </c>
      <c r="I215" s="8">
        <v>0.07</v>
      </c>
      <c r="J215" s="8">
        <v>926.28</v>
      </c>
      <c r="K215" s="6" t="s">
        <v>33</v>
      </c>
      <c r="L215" s="8">
        <v>4.4</v>
      </c>
      <c r="M215" s="8">
        <v>28.0</v>
      </c>
      <c r="N215" s="6" t="s">
        <v>21</v>
      </c>
      <c r="O215" s="9"/>
    </row>
    <row r="216" ht="22.5" customHeight="1">
      <c r="A216" s="6" t="s">
        <v>430</v>
      </c>
      <c r="B216" s="6" t="s">
        <v>431</v>
      </c>
      <c r="C216" s="7">
        <v>46145.0</v>
      </c>
      <c r="D216" s="6" t="s">
        <v>17</v>
      </c>
      <c r="E216" s="6" t="s">
        <v>64</v>
      </c>
      <c r="F216" s="6" t="s">
        <v>65</v>
      </c>
      <c r="G216" s="8">
        <v>1.0</v>
      </c>
      <c r="H216" s="8">
        <v>99.0</v>
      </c>
      <c r="I216" s="8">
        <v>0.21</v>
      </c>
      <c r="J216" s="8">
        <v>78.21</v>
      </c>
      <c r="K216" s="6" t="s">
        <v>51</v>
      </c>
      <c r="L216" s="8">
        <v>4.3</v>
      </c>
      <c r="M216" s="8">
        <v>31.0</v>
      </c>
      <c r="N216" s="6" t="s">
        <v>21</v>
      </c>
      <c r="O216" s="9"/>
    </row>
    <row r="217" ht="22.5" customHeight="1">
      <c r="A217" s="6" t="s">
        <v>432</v>
      </c>
      <c r="B217" s="6" t="s">
        <v>308</v>
      </c>
      <c r="C217" s="7">
        <v>46146.0</v>
      </c>
      <c r="D217" s="6" t="s">
        <v>30</v>
      </c>
      <c r="E217" s="6" t="s">
        <v>70</v>
      </c>
      <c r="F217" s="6" t="s">
        <v>32</v>
      </c>
      <c r="G217" s="8">
        <v>2.0</v>
      </c>
      <c r="H217" s="8">
        <v>99.0</v>
      </c>
      <c r="I217" s="8">
        <v>0.06</v>
      </c>
      <c r="J217" s="8">
        <v>186.12</v>
      </c>
      <c r="K217" s="6" t="s">
        <v>33</v>
      </c>
      <c r="L217" s="8">
        <v>2.8</v>
      </c>
      <c r="M217" s="8">
        <v>43.0</v>
      </c>
      <c r="N217" s="6" t="s">
        <v>21</v>
      </c>
      <c r="O217" s="9"/>
    </row>
    <row r="218" ht="22.5" customHeight="1">
      <c r="A218" s="6" t="s">
        <v>433</v>
      </c>
      <c r="B218" s="6" t="s">
        <v>326</v>
      </c>
      <c r="C218" s="7">
        <v>46147.0</v>
      </c>
      <c r="D218" s="6" t="s">
        <v>24</v>
      </c>
      <c r="E218" s="6" t="s">
        <v>48</v>
      </c>
      <c r="F218" s="6" t="s">
        <v>26</v>
      </c>
      <c r="G218" s="8">
        <v>1.0</v>
      </c>
      <c r="H218" s="8">
        <v>99.0</v>
      </c>
      <c r="I218" s="8">
        <v>0.19</v>
      </c>
      <c r="J218" s="8">
        <v>80.19</v>
      </c>
      <c r="K218" s="6" t="s">
        <v>51</v>
      </c>
      <c r="L218" s="8">
        <v>2.5</v>
      </c>
      <c r="M218" s="8">
        <v>42.0</v>
      </c>
      <c r="N218" s="6" t="s">
        <v>21</v>
      </c>
      <c r="O218" s="9"/>
    </row>
    <row r="219" ht="22.5" customHeight="1">
      <c r="A219" s="6" t="s">
        <v>434</v>
      </c>
      <c r="B219" s="6" t="s">
        <v>208</v>
      </c>
      <c r="C219" s="7">
        <v>46148.0</v>
      </c>
      <c r="D219" s="6" t="s">
        <v>24</v>
      </c>
      <c r="E219" s="6" t="s">
        <v>48</v>
      </c>
      <c r="F219" s="6" t="s">
        <v>37</v>
      </c>
      <c r="G219" s="8">
        <v>1.0</v>
      </c>
      <c r="H219" s="8">
        <v>249.0</v>
      </c>
      <c r="I219" s="8">
        <v>0.22</v>
      </c>
      <c r="J219" s="8">
        <v>194.22</v>
      </c>
      <c r="K219" s="6" t="s">
        <v>33</v>
      </c>
      <c r="L219" s="8">
        <v>3.6</v>
      </c>
      <c r="M219" s="8">
        <v>25.0</v>
      </c>
      <c r="N219" s="6" t="s">
        <v>21</v>
      </c>
      <c r="O219" s="9"/>
    </row>
    <row r="220" ht="22.5" customHeight="1">
      <c r="A220" s="6" t="s">
        <v>435</v>
      </c>
      <c r="B220" s="6" t="s">
        <v>436</v>
      </c>
      <c r="C220" s="7">
        <v>46149.0</v>
      </c>
      <c r="D220" s="6" t="s">
        <v>24</v>
      </c>
      <c r="E220" s="6" t="s">
        <v>25</v>
      </c>
      <c r="F220" s="6" t="s">
        <v>65</v>
      </c>
      <c r="G220" s="8">
        <v>3.0</v>
      </c>
      <c r="H220" s="8">
        <v>999.0</v>
      </c>
      <c r="I220" s="8">
        <v>0.22</v>
      </c>
      <c r="J220" s="8">
        <v>2337.66</v>
      </c>
      <c r="K220" s="6" t="s">
        <v>20</v>
      </c>
      <c r="L220" s="8">
        <v>3.4</v>
      </c>
      <c r="M220" s="8">
        <v>50.0</v>
      </c>
      <c r="N220" s="6" t="s">
        <v>21</v>
      </c>
      <c r="O220" s="9"/>
    </row>
    <row r="221" ht="22.5" customHeight="1">
      <c r="A221" s="6" t="s">
        <v>437</v>
      </c>
      <c r="B221" s="6" t="s">
        <v>176</v>
      </c>
      <c r="C221" s="7">
        <v>46150.0</v>
      </c>
      <c r="D221" s="6" t="s">
        <v>24</v>
      </c>
      <c r="E221" s="6" t="s">
        <v>25</v>
      </c>
      <c r="F221" s="6" t="s">
        <v>32</v>
      </c>
      <c r="G221" s="8">
        <v>4.0</v>
      </c>
      <c r="H221" s="8">
        <v>99.0</v>
      </c>
      <c r="I221" s="8">
        <v>0.11</v>
      </c>
      <c r="J221" s="8">
        <v>352.44</v>
      </c>
      <c r="K221" s="6" t="s">
        <v>51</v>
      </c>
      <c r="L221" s="8">
        <v>4.6</v>
      </c>
      <c r="M221" s="8">
        <v>39.0</v>
      </c>
      <c r="N221" s="6" t="s">
        <v>21</v>
      </c>
      <c r="O221" s="9"/>
    </row>
    <row r="222" ht="22.5" customHeight="1">
      <c r="A222" s="6" t="s">
        <v>438</v>
      </c>
      <c r="B222" s="6" t="s">
        <v>439</v>
      </c>
      <c r="C222" s="7">
        <v>46151.0</v>
      </c>
      <c r="D222" s="6" t="s">
        <v>24</v>
      </c>
      <c r="E222" s="6" t="s">
        <v>48</v>
      </c>
      <c r="F222" s="6" t="s">
        <v>26</v>
      </c>
      <c r="G222" s="8">
        <v>2.0</v>
      </c>
      <c r="H222" s="8">
        <v>1499.0</v>
      </c>
      <c r="I222" s="8">
        <v>0.04</v>
      </c>
      <c r="J222" s="8">
        <v>2878.08</v>
      </c>
      <c r="K222" s="6" t="s">
        <v>20</v>
      </c>
      <c r="L222" s="8">
        <v>4.3</v>
      </c>
      <c r="M222" s="8">
        <v>29.0</v>
      </c>
      <c r="N222" s="6" t="s">
        <v>38</v>
      </c>
      <c r="O222" s="9"/>
    </row>
    <row r="223" ht="22.5" customHeight="1">
      <c r="A223" s="6" t="s">
        <v>440</v>
      </c>
      <c r="B223" s="6" t="s">
        <v>441</v>
      </c>
      <c r="C223" s="7">
        <v>46152.0</v>
      </c>
      <c r="D223" s="6" t="s">
        <v>17</v>
      </c>
      <c r="E223" s="6" t="s">
        <v>64</v>
      </c>
      <c r="F223" s="6" t="s">
        <v>19</v>
      </c>
      <c r="G223" s="8">
        <v>2.0</v>
      </c>
      <c r="H223" s="8">
        <v>499.0</v>
      </c>
      <c r="I223" s="8">
        <v>0.07</v>
      </c>
      <c r="J223" s="8">
        <v>928.14</v>
      </c>
      <c r="K223" s="6" t="s">
        <v>20</v>
      </c>
      <c r="L223" s="8">
        <v>3.6</v>
      </c>
      <c r="M223" s="8">
        <v>48.0</v>
      </c>
      <c r="N223" s="6" t="s">
        <v>21</v>
      </c>
      <c r="O223" s="9"/>
    </row>
    <row r="224" ht="22.5" customHeight="1">
      <c r="A224" s="6" t="s">
        <v>442</v>
      </c>
      <c r="B224" s="6" t="s">
        <v>443</v>
      </c>
      <c r="C224" s="7">
        <v>46153.0</v>
      </c>
      <c r="D224" s="6" t="s">
        <v>41</v>
      </c>
      <c r="E224" s="6" t="s">
        <v>45</v>
      </c>
      <c r="F224" s="6" t="s">
        <v>26</v>
      </c>
      <c r="G224" s="8">
        <v>1.0</v>
      </c>
      <c r="H224" s="8">
        <v>99.0</v>
      </c>
      <c r="I224" s="8">
        <v>0.25</v>
      </c>
      <c r="J224" s="8">
        <v>74.25</v>
      </c>
      <c r="K224" s="6" t="s">
        <v>27</v>
      </c>
      <c r="L224" s="8">
        <v>4.5</v>
      </c>
      <c r="M224" s="8">
        <v>26.0</v>
      </c>
      <c r="N224" s="6" t="s">
        <v>21</v>
      </c>
      <c r="O224" s="9"/>
    </row>
    <row r="225" ht="22.5" customHeight="1">
      <c r="A225" s="6" t="s">
        <v>444</v>
      </c>
      <c r="B225" s="6" t="s">
        <v>265</v>
      </c>
      <c r="C225" s="7">
        <v>46154.0</v>
      </c>
      <c r="D225" s="6" t="s">
        <v>17</v>
      </c>
      <c r="E225" s="6" t="s">
        <v>18</v>
      </c>
      <c r="F225" s="6" t="s">
        <v>26</v>
      </c>
      <c r="G225" s="8">
        <v>1.0</v>
      </c>
      <c r="H225" s="8">
        <v>99.0</v>
      </c>
      <c r="I225" s="8">
        <v>0.16</v>
      </c>
      <c r="J225" s="8">
        <v>83.16</v>
      </c>
      <c r="K225" s="6" t="s">
        <v>27</v>
      </c>
      <c r="L225" s="8">
        <v>4.5</v>
      </c>
      <c r="M225" s="8">
        <v>31.0</v>
      </c>
      <c r="N225" s="6" t="s">
        <v>21</v>
      </c>
      <c r="O225" s="9"/>
    </row>
    <row r="226" ht="22.5" customHeight="1">
      <c r="A226" s="6" t="s">
        <v>445</v>
      </c>
      <c r="B226" s="6" t="s">
        <v>446</v>
      </c>
      <c r="C226" s="7">
        <v>46155.0</v>
      </c>
      <c r="D226" s="6" t="s">
        <v>17</v>
      </c>
      <c r="E226" s="6" t="s">
        <v>111</v>
      </c>
      <c r="F226" s="6" t="s">
        <v>65</v>
      </c>
      <c r="G226" s="8">
        <v>2.0</v>
      </c>
      <c r="H226" s="8">
        <v>99.0</v>
      </c>
      <c r="I226" s="8">
        <v>0.04</v>
      </c>
      <c r="J226" s="8">
        <v>190.08</v>
      </c>
      <c r="K226" s="6" t="s">
        <v>33</v>
      </c>
      <c r="L226" s="8">
        <v>4.0</v>
      </c>
      <c r="M226" s="8">
        <v>28.0</v>
      </c>
      <c r="N226" s="6" t="s">
        <v>21</v>
      </c>
      <c r="O226" s="9"/>
    </row>
    <row r="227" ht="22.5" customHeight="1">
      <c r="A227" s="6" t="s">
        <v>447</v>
      </c>
      <c r="B227" s="6" t="s">
        <v>392</v>
      </c>
      <c r="C227" s="7">
        <v>46156.0</v>
      </c>
      <c r="D227" s="6" t="s">
        <v>24</v>
      </c>
      <c r="E227" s="6" t="s">
        <v>117</v>
      </c>
      <c r="F227" s="6" t="s">
        <v>37</v>
      </c>
      <c r="G227" s="8">
        <v>4.0</v>
      </c>
      <c r="H227" s="8">
        <v>299.0</v>
      </c>
      <c r="I227" s="8">
        <v>0.07</v>
      </c>
      <c r="J227" s="8">
        <v>1112.28</v>
      </c>
      <c r="K227" s="6" t="s">
        <v>33</v>
      </c>
      <c r="L227" s="8">
        <v>3.5</v>
      </c>
      <c r="M227" s="8">
        <v>49.0</v>
      </c>
      <c r="N227" s="6" t="s">
        <v>21</v>
      </c>
      <c r="O227" s="9"/>
    </row>
    <row r="228" ht="22.5" customHeight="1">
      <c r="A228" s="6" t="s">
        <v>448</v>
      </c>
      <c r="B228" s="6" t="s">
        <v>449</v>
      </c>
      <c r="C228" s="7">
        <v>46157.0</v>
      </c>
      <c r="D228" s="6" t="s">
        <v>24</v>
      </c>
      <c r="E228" s="6" t="s">
        <v>140</v>
      </c>
      <c r="F228" s="6" t="s">
        <v>26</v>
      </c>
      <c r="G228" s="8">
        <v>1.0</v>
      </c>
      <c r="H228" s="8">
        <v>249.0</v>
      </c>
      <c r="I228" s="8">
        <v>0.21</v>
      </c>
      <c r="J228" s="8">
        <v>196.71</v>
      </c>
      <c r="K228" s="6" t="s">
        <v>27</v>
      </c>
      <c r="L228" s="8">
        <v>5.0</v>
      </c>
      <c r="M228" s="8">
        <v>34.0</v>
      </c>
      <c r="N228" s="6" t="s">
        <v>21</v>
      </c>
      <c r="O228" s="9"/>
    </row>
    <row r="229" ht="22.5" customHeight="1">
      <c r="A229" s="6" t="s">
        <v>450</v>
      </c>
      <c r="B229" s="6" t="s">
        <v>407</v>
      </c>
      <c r="C229" s="7">
        <v>46158.0</v>
      </c>
      <c r="D229" s="6" t="s">
        <v>17</v>
      </c>
      <c r="E229" s="6" t="s">
        <v>111</v>
      </c>
      <c r="F229" s="6" t="s">
        <v>19</v>
      </c>
      <c r="G229" s="8">
        <v>1.0</v>
      </c>
      <c r="H229" s="8">
        <v>699.0</v>
      </c>
      <c r="I229" s="8">
        <v>0.03</v>
      </c>
      <c r="J229" s="8">
        <v>678.03</v>
      </c>
      <c r="K229" s="6" t="s">
        <v>27</v>
      </c>
      <c r="L229" s="8">
        <v>4.7</v>
      </c>
      <c r="M229" s="8">
        <v>40.0</v>
      </c>
      <c r="N229" s="6" t="s">
        <v>21</v>
      </c>
      <c r="O229" s="9"/>
    </row>
    <row r="230" ht="22.5" customHeight="1">
      <c r="A230" s="6" t="s">
        <v>451</v>
      </c>
      <c r="B230" s="6" t="s">
        <v>452</v>
      </c>
      <c r="C230" s="7">
        <v>46159.0</v>
      </c>
      <c r="D230" s="6" t="s">
        <v>24</v>
      </c>
      <c r="E230" s="6" t="s">
        <v>140</v>
      </c>
      <c r="F230" s="6" t="s">
        <v>32</v>
      </c>
      <c r="G230" s="8">
        <v>4.0</v>
      </c>
      <c r="H230" s="8">
        <v>149.0</v>
      </c>
      <c r="I230" s="8">
        <v>0.13</v>
      </c>
      <c r="J230" s="8">
        <v>518.52</v>
      </c>
      <c r="K230" s="6" t="s">
        <v>20</v>
      </c>
      <c r="L230" s="8">
        <v>4.0</v>
      </c>
      <c r="M230" s="8">
        <v>32.0</v>
      </c>
      <c r="N230" s="6" t="s">
        <v>21</v>
      </c>
      <c r="O230" s="9"/>
    </row>
    <row r="231" ht="22.5" customHeight="1">
      <c r="A231" s="6" t="s">
        <v>453</v>
      </c>
      <c r="B231" s="6" t="s">
        <v>454</v>
      </c>
      <c r="C231" s="7">
        <v>46160.0</v>
      </c>
      <c r="D231" s="6" t="s">
        <v>24</v>
      </c>
      <c r="E231" s="6" t="s">
        <v>25</v>
      </c>
      <c r="F231" s="6" t="s">
        <v>37</v>
      </c>
      <c r="G231" s="8">
        <v>4.0</v>
      </c>
      <c r="H231" s="8">
        <v>499.0</v>
      </c>
      <c r="I231" s="8">
        <v>0.06</v>
      </c>
      <c r="J231" s="8">
        <v>1876.24</v>
      </c>
      <c r="K231" s="6" t="s">
        <v>33</v>
      </c>
      <c r="L231" s="8">
        <v>3.7</v>
      </c>
      <c r="M231" s="8">
        <v>29.0</v>
      </c>
      <c r="N231" s="6" t="s">
        <v>21</v>
      </c>
      <c r="O231" s="9"/>
    </row>
    <row r="232" ht="22.5" customHeight="1">
      <c r="A232" s="6" t="s">
        <v>455</v>
      </c>
      <c r="B232" s="6" t="s">
        <v>328</v>
      </c>
      <c r="C232" s="7">
        <v>46161.0</v>
      </c>
      <c r="D232" s="6" t="s">
        <v>24</v>
      </c>
      <c r="E232" s="6" t="s">
        <v>48</v>
      </c>
      <c r="F232" s="6" t="s">
        <v>19</v>
      </c>
      <c r="G232" s="8">
        <v>1.0</v>
      </c>
      <c r="H232" s="8">
        <v>999.0</v>
      </c>
      <c r="I232" s="8">
        <v>0.11</v>
      </c>
      <c r="J232" s="8">
        <v>889.11</v>
      </c>
      <c r="K232" s="6" t="s">
        <v>27</v>
      </c>
      <c r="L232" s="8">
        <v>4.4</v>
      </c>
      <c r="M232" s="8">
        <v>51.0</v>
      </c>
      <c r="N232" s="6" t="s">
        <v>21</v>
      </c>
      <c r="O232" s="9"/>
    </row>
    <row r="233" ht="22.5" customHeight="1">
      <c r="A233" s="6" t="s">
        <v>456</v>
      </c>
      <c r="B233" s="6" t="s">
        <v>180</v>
      </c>
      <c r="C233" s="7">
        <v>46162.0</v>
      </c>
      <c r="D233" s="6" t="s">
        <v>30</v>
      </c>
      <c r="E233" s="6" t="s">
        <v>70</v>
      </c>
      <c r="F233" s="6" t="s">
        <v>37</v>
      </c>
      <c r="G233" s="8">
        <v>2.0</v>
      </c>
      <c r="H233" s="8">
        <v>999.0</v>
      </c>
      <c r="I233" s="8">
        <v>0.17</v>
      </c>
      <c r="J233" s="8">
        <v>1658.34</v>
      </c>
      <c r="K233" s="6" t="s">
        <v>33</v>
      </c>
      <c r="L233" s="8">
        <v>3.7</v>
      </c>
      <c r="M233" s="8">
        <v>52.0</v>
      </c>
      <c r="N233" s="6" t="s">
        <v>21</v>
      </c>
      <c r="O233" s="9"/>
    </row>
    <row r="234" ht="22.5" customHeight="1">
      <c r="A234" s="6" t="s">
        <v>457</v>
      </c>
      <c r="B234" s="6" t="s">
        <v>203</v>
      </c>
      <c r="C234" s="7">
        <v>46163.0</v>
      </c>
      <c r="D234" s="6" t="s">
        <v>24</v>
      </c>
      <c r="E234" s="6" t="s">
        <v>25</v>
      </c>
      <c r="F234" s="6" t="s">
        <v>37</v>
      </c>
      <c r="G234" s="8">
        <v>1.0</v>
      </c>
      <c r="H234" s="8">
        <v>699.0</v>
      </c>
      <c r="I234" s="8">
        <v>0.0</v>
      </c>
      <c r="J234" s="8">
        <v>699.0</v>
      </c>
      <c r="K234" s="6" t="s">
        <v>51</v>
      </c>
      <c r="L234" s="8">
        <v>3.8</v>
      </c>
      <c r="M234" s="8">
        <v>39.0</v>
      </c>
      <c r="N234" s="6" t="s">
        <v>21</v>
      </c>
      <c r="O234" s="9"/>
    </row>
    <row r="235" ht="22.5" customHeight="1">
      <c r="A235" s="6" t="s">
        <v>458</v>
      </c>
      <c r="B235" s="6" t="s">
        <v>459</v>
      </c>
      <c r="C235" s="7">
        <v>46164.0</v>
      </c>
      <c r="D235" s="6" t="s">
        <v>41</v>
      </c>
      <c r="E235" s="6" t="s">
        <v>94</v>
      </c>
      <c r="F235" s="6" t="s">
        <v>32</v>
      </c>
      <c r="G235" s="8">
        <v>3.0</v>
      </c>
      <c r="H235" s="8">
        <v>99.0</v>
      </c>
      <c r="I235" s="8">
        <v>0.05</v>
      </c>
      <c r="J235" s="8">
        <v>282.15</v>
      </c>
      <c r="K235" s="6" t="s">
        <v>51</v>
      </c>
      <c r="L235" s="8">
        <v>4.8</v>
      </c>
      <c r="M235" s="8">
        <v>29.0</v>
      </c>
      <c r="N235" s="6" t="s">
        <v>38</v>
      </c>
      <c r="O235" s="9"/>
    </row>
    <row r="236" ht="22.5" customHeight="1">
      <c r="A236" s="6" t="s">
        <v>460</v>
      </c>
      <c r="B236" s="6" t="s">
        <v>429</v>
      </c>
      <c r="C236" s="7">
        <v>46165.0</v>
      </c>
      <c r="D236" s="6" t="s">
        <v>17</v>
      </c>
      <c r="E236" s="6" t="s">
        <v>75</v>
      </c>
      <c r="F236" s="6" t="s">
        <v>19</v>
      </c>
      <c r="G236" s="8">
        <v>2.0</v>
      </c>
      <c r="H236" s="8">
        <v>249.0</v>
      </c>
      <c r="I236" s="8">
        <v>0.22</v>
      </c>
      <c r="J236" s="8">
        <v>388.44</v>
      </c>
      <c r="K236" s="6" t="s">
        <v>20</v>
      </c>
      <c r="L236" s="8">
        <v>4.3</v>
      </c>
      <c r="M236" s="8">
        <v>25.0</v>
      </c>
      <c r="N236" s="6" t="s">
        <v>21</v>
      </c>
      <c r="O236" s="9"/>
    </row>
    <row r="237" ht="22.5" customHeight="1">
      <c r="A237" s="6" t="s">
        <v>461</v>
      </c>
      <c r="B237" s="6" t="s">
        <v>462</v>
      </c>
      <c r="C237" s="7">
        <v>46166.0</v>
      </c>
      <c r="D237" s="6" t="s">
        <v>17</v>
      </c>
      <c r="E237" s="6" t="s">
        <v>64</v>
      </c>
      <c r="F237" s="6" t="s">
        <v>26</v>
      </c>
      <c r="G237" s="8">
        <v>1.0</v>
      </c>
      <c r="H237" s="8">
        <v>249.0</v>
      </c>
      <c r="I237" s="8">
        <v>0.16</v>
      </c>
      <c r="J237" s="8">
        <v>209.16</v>
      </c>
      <c r="K237" s="6" t="s">
        <v>20</v>
      </c>
      <c r="L237" s="8">
        <v>3.7</v>
      </c>
      <c r="M237" s="8">
        <v>51.0</v>
      </c>
      <c r="N237" s="6" t="s">
        <v>21</v>
      </c>
      <c r="O237" s="9"/>
    </row>
    <row r="238" ht="22.5" customHeight="1">
      <c r="A238" s="6" t="s">
        <v>463</v>
      </c>
      <c r="B238" s="6" t="s">
        <v>194</v>
      </c>
      <c r="C238" s="7">
        <v>46167.0</v>
      </c>
      <c r="D238" s="6" t="s">
        <v>17</v>
      </c>
      <c r="E238" s="6" t="s">
        <v>18</v>
      </c>
      <c r="F238" s="6" t="s">
        <v>19</v>
      </c>
      <c r="G238" s="8">
        <v>1.0</v>
      </c>
      <c r="H238" s="8">
        <v>1999.0</v>
      </c>
      <c r="I238" s="8">
        <v>0.08</v>
      </c>
      <c r="J238" s="8">
        <v>1839.08</v>
      </c>
      <c r="K238" s="6" t="s">
        <v>33</v>
      </c>
      <c r="L238" s="8">
        <v>3.5</v>
      </c>
      <c r="M238" s="8">
        <v>44.0</v>
      </c>
      <c r="N238" s="6" t="s">
        <v>21</v>
      </c>
      <c r="O238" s="9"/>
    </row>
    <row r="239" ht="22.5" customHeight="1">
      <c r="A239" s="6" t="s">
        <v>464</v>
      </c>
      <c r="B239" s="6" t="s">
        <v>315</v>
      </c>
      <c r="C239" s="7">
        <v>46168.0</v>
      </c>
      <c r="D239" s="6" t="s">
        <v>24</v>
      </c>
      <c r="E239" s="6" t="s">
        <v>117</v>
      </c>
      <c r="F239" s="6" t="s">
        <v>26</v>
      </c>
      <c r="G239" s="8">
        <v>1.0</v>
      </c>
      <c r="H239" s="8">
        <v>199.0</v>
      </c>
      <c r="I239" s="8">
        <v>0.0</v>
      </c>
      <c r="J239" s="8">
        <v>199.0</v>
      </c>
      <c r="K239" s="6" t="s">
        <v>33</v>
      </c>
      <c r="L239" s="8">
        <v>3.4</v>
      </c>
      <c r="M239" s="8">
        <v>26.0</v>
      </c>
      <c r="N239" s="6" t="s">
        <v>21</v>
      </c>
      <c r="O239" s="9"/>
    </row>
    <row r="240" ht="22.5" customHeight="1">
      <c r="A240" s="6" t="s">
        <v>465</v>
      </c>
      <c r="B240" s="6" t="s">
        <v>158</v>
      </c>
      <c r="C240" s="7">
        <v>46169.0</v>
      </c>
      <c r="D240" s="6" t="s">
        <v>30</v>
      </c>
      <c r="E240" s="6" t="s">
        <v>70</v>
      </c>
      <c r="F240" s="6" t="s">
        <v>37</v>
      </c>
      <c r="G240" s="8">
        <v>2.0</v>
      </c>
      <c r="H240" s="8">
        <v>299.0</v>
      </c>
      <c r="I240" s="8">
        <v>0.05</v>
      </c>
      <c r="J240" s="8">
        <v>568.1</v>
      </c>
      <c r="K240" s="6" t="s">
        <v>33</v>
      </c>
      <c r="L240" s="8">
        <v>5.0</v>
      </c>
      <c r="M240" s="8">
        <v>32.0</v>
      </c>
      <c r="N240" s="6" t="s">
        <v>21</v>
      </c>
      <c r="O240" s="9"/>
    </row>
    <row r="241" ht="22.5" customHeight="1">
      <c r="A241" s="6" t="s">
        <v>466</v>
      </c>
      <c r="B241" s="6" t="s">
        <v>467</v>
      </c>
      <c r="C241" s="7">
        <v>46170.0</v>
      </c>
      <c r="D241" s="6" t="s">
        <v>41</v>
      </c>
      <c r="E241" s="6" t="s">
        <v>94</v>
      </c>
      <c r="F241" s="6" t="s">
        <v>57</v>
      </c>
      <c r="G241" s="8">
        <v>3.0</v>
      </c>
      <c r="H241" s="8">
        <v>199.0</v>
      </c>
      <c r="I241" s="8">
        <v>0.3</v>
      </c>
      <c r="J241" s="8">
        <v>417.9</v>
      </c>
      <c r="K241" s="6" t="s">
        <v>27</v>
      </c>
      <c r="L241" s="8">
        <v>4.3</v>
      </c>
      <c r="M241" s="8">
        <v>59.0</v>
      </c>
      <c r="N241" s="6" t="s">
        <v>21</v>
      </c>
      <c r="O241" s="9"/>
    </row>
    <row r="242" ht="22.5" customHeight="1">
      <c r="A242" s="6" t="s">
        <v>468</v>
      </c>
      <c r="B242" s="6" t="s">
        <v>176</v>
      </c>
      <c r="C242" s="7">
        <v>46171.0</v>
      </c>
      <c r="D242" s="6" t="s">
        <v>41</v>
      </c>
      <c r="E242" s="6" t="s">
        <v>94</v>
      </c>
      <c r="F242" s="6" t="s">
        <v>37</v>
      </c>
      <c r="G242" s="8">
        <v>4.0</v>
      </c>
      <c r="H242" s="8">
        <v>1999.0</v>
      </c>
      <c r="I242" s="8">
        <v>0.27</v>
      </c>
      <c r="J242" s="8">
        <v>5837.08</v>
      </c>
      <c r="K242" s="6" t="s">
        <v>33</v>
      </c>
      <c r="L242" s="8">
        <v>4.2</v>
      </c>
      <c r="M242" s="8">
        <v>27.0</v>
      </c>
      <c r="N242" s="6" t="s">
        <v>21</v>
      </c>
      <c r="O242" s="9"/>
    </row>
    <row r="243" ht="22.5" customHeight="1">
      <c r="A243" s="6" t="s">
        <v>469</v>
      </c>
      <c r="B243" s="6" t="s">
        <v>147</v>
      </c>
      <c r="C243" s="7">
        <v>46172.0</v>
      </c>
      <c r="D243" s="6" t="s">
        <v>24</v>
      </c>
      <c r="E243" s="6" t="s">
        <v>117</v>
      </c>
      <c r="F243" s="6" t="s">
        <v>26</v>
      </c>
      <c r="G243" s="8">
        <v>1.0</v>
      </c>
      <c r="H243" s="8">
        <v>499.0</v>
      </c>
      <c r="I243" s="8">
        <v>0.19</v>
      </c>
      <c r="J243" s="8">
        <v>404.19</v>
      </c>
      <c r="K243" s="6" t="s">
        <v>51</v>
      </c>
      <c r="L243" s="8">
        <v>4.2</v>
      </c>
      <c r="M243" s="8">
        <v>34.0</v>
      </c>
      <c r="N243" s="6" t="s">
        <v>21</v>
      </c>
      <c r="O243" s="9"/>
    </row>
    <row r="244" ht="22.5" customHeight="1">
      <c r="A244" s="6" t="s">
        <v>470</v>
      </c>
      <c r="B244" s="6" t="s">
        <v>471</v>
      </c>
      <c r="C244" s="7">
        <v>46173.0</v>
      </c>
      <c r="D244" s="6" t="s">
        <v>24</v>
      </c>
      <c r="E244" s="6" t="s">
        <v>117</v>
      </c>
      <c r="F244" s="6" t="s">
        <v>37</v>
      </c>
      <c r="G244" s="8">
        <v>1.0</v>
      </c>
      <c r="H244" s="8">
        <v>99.0</v>
      </c>
      <c r="I244" s="8">
        <v>0.08</v>
      </c>
      <c r="J244" s="8">
        <v>91.08</v>
      </c>
      <c r="K244" s="6" t="s">
        <v>27</v>
      </c>
      <c r="L244" s="8">
        <v>4.7</v>
      </c>
      <c r="M244" s="8">
        <v>38.0</v>
      </c>
      <c r="N244" s="6" t="s">
        <v>21</v>
      </c>
      <c r="O244" s="9"/>
    </row>
    <row r="245" ht="22.5" customHeight="1">
      <c r="A245" s="6" t="s">
        <v>472</v>
      </c>
      <c r="B245" s="6" t="s">
        <v>473</v>
      </c>
      <c r="C245" s="7">
        <v>46174.0</v>
      </c>
      <c r="D245" s="6" t="s">
        <v>41</v>
      </c>
      <c r="E245" s="6" t="s">
        <v>54</v>
      </c>
      <c r="F245" s="6" t="s">
        <v>19</v>
      </c>
      <c r="G245" s="8">
        <v>4.0</v>
      </c>
      <c r="H245" s="8">
        <v>999.0</v>
      </c>
      <c r="I245" s="8">
        <v>0.01</v>
      </c>
      <c r="J245" s="8">
        <v>3956.04</v>
      </c>
      <c r="K245" s="6" t="s">
        <v>51</v>
      </c>
      <c r="L245" s="8">
        <v>3.9</v>
      </c>
      <c r="M245" s="8">
        <v>36.0</v>
      </c>
      <c r="N245" s="6" t="s">
        <v>21</v>
      </c>
      <c r="O245" s="9"/>
    </row>
    <row r="246" ht="22.5" customHeight="1">
      <c r="A246" s="6" t="s">
        <v>474</v>
      </c>
      <c r="B246" s="6" t="s">
        <v>475</v>
      </c>
      <c r="C246" s="7">
        <v>46175.0</v>
      </c>
      <c r="D246" s="6" t="s">
        <v>41</v>
      </c>
      <c r="E246" s="6" t="s">
        <v>42</v>
      </c>
      <c r="F246" s="6" t="s">
        <v>32</v>
      </c>
      <c r="G246" s="8">
        <v>3.0</v>
      </c>
      <c r="H246" s="8">
        <v>99.0</v>
      </c>
      <c r="I246" s="8">
        <v>0.15</v>
      </c>
      <c r="J246" s="8">
        <v>252.45</v>
      </c>
      <c r="K246" s="6" t="s">
        <v>27</v>
      </c>
      <c r="L246" s="8">
        <v>4.5</v>
      </c>
      <c r="M246" s="8">
        <v>41.0</v>
      </c>
      <c r="N246" s="6" t="s">
        <v>21</v>
      </c>
      <c r="O246" s="9"/>
    </row>
    <row r="247" ht="22.5" customHeight="1">
      <c r="A247" s="6" t="s">
        <v>476</v>
      </c>
      <c r="B247" s="6" t="s">
        <v>47</v>
      </c>
      <c r="C247" s="7">
        <v>46176.0</v>
      </c>
      <c r="D247" s="6" t="s">
        <v>41</v>
      </c>
      <c r="E247" s="6" t="s">
        <v>42</v>
      </c>
      <c r="F247" s="6" t="s">
        <v>26</v>
      </c>
      <c r="G247" s="8">
        <v>1.0</v>
      </c>
      <c r="H247" s="8">
        <v>49.0</v>
      </c>
      <c r="I247" s="8">
        <v>0.2</v>
      </c>
      <c r="J247" s="8">
        <v>39.2</v>
      </c>
      <c r="K247" s="6" t="s">
        <v>33</v>
      </c>
      <c r="L247" s="8">
        <v>4.6</v>
      </c>
      <c r="M247" s="8">
        <v>26.0</v>
      </c>
      <c r="N247" s="6" t="s">
        <v>21</v>
      </c>
      <c r="O247" s="9"/>
    </row>
    <row r="248" ht="22.5" customHeight="1">
      <c r="A248" s="6" t="s">
        <v>477</v>
      </c>
      <c r="B248" s="6" t="s">
        <v>121</v>
      </c>
      <c r="C248" s="7">
        <v>46177.0</v>
      </c>
      <c r="D248" s="6" t="s">
        <v>41</v>
      </c>
      <c r="E248" s="6" t="s">
        <v>54</v>
      </c>
      <c r="F248" s="6" t="s">
        <v>65</v>
      </c>
      <c r="G248" s="8">
        <v>2.0</v>
      </c>
      <c r="H248" s="8">
        <v>699.0</v>
      </c>
      <c r="I248" s="8">
        <v>0.18</v>
      </c>
      <c r="J248" s="8">
        <v>1146.36</v>
      </c>
      <c r="K248" s="6" t="s">
        <v>27</v>
      </c>
      <c r="L248" s="8">
        <v>3.4</v>
      </c>
      <c r="M248" s="8">
        <v>24.0</v>
      </c>
      <c r="N248" s="6" t="s">
        <v>21</v>
      </c>
      <c r="O248" s="9"/>
    </row>
    <row r="249" ht="22.5" customHeight="1">
      <c r="A249" s="6" t="s">
        <v>478</v>
      </c>
      <c r="B249" s="6" t="s">
        <v>411</v>
      </c>
      <c r="C249" s="7">
        <v>46178.0</v>
      </c>
      <c r="D249" s="6" t="s">
        <v>24</v>
      </c>
      <c r="E249" s="6" t="s">
        <v>48</v>
      </c>
      <c r="F249" s="6" t="s">
        <v>32</v>
      </c>
      <c r="G249" s="8">
        <v>1.0</v>
      </c>
      <c r="H249" s="8">
        <v>699.0</v>
      </c>
      <c r="I249" s="8">
        <v>0.17</v>
      </c>
      <c r="J249" s="8">
        <v>580.17</v>
      </c>
      <c r="K249" s="6" t="s">
        <v>51</v>
      </c>
      <c r="L249" s="8">
        <v>4.4</v>
      </c>
      <c r="M249" s="8">
        <v>27.0</v>
      </c>
      <c r="N249" s="6" t="s">
        <v>21</v>
      </c>
      <c r="O249" s="9"/>
    </row>
    <row r="250" ht="22.5" customHeight="1">
      <c r="A250" s="6" t="s">
        <v>479</v>
      </c>
      <c r="B250" s="6" t="s">
        <v>158</v>
      </c>
      <c r="C250" s="7">
        <v>46179.0</v>
      </c>
      <c r="D250" s="6" t="s">
        <v>30</v>
      </c>
      <c r="E250" s="6" t="s">
        <v>36</v>
      </c>
      <c r="F250" s="6" t="s">
        <v>32</v>
      </c>
      <c r="G250" s="8">
        <v>1.0</v>
      </c>
      <c r="H250" s="8">
        <v>149.0</v>
      </c>
      <c r="I250" s="8">
        <v>0.15</v>
      </c>
      <c r="J250" s="8">
        <v>126.65</v>
      </c>
      <c r="K250" s="6" t="s">
        <v>20</v>
      </c>
      <c r="L250" s="8">
        <v>4.0</v>
      </c>
      <c r="M250" s="8">
        <v>49.0</v>
      </c>
      <c r="N250" s="6" t="s">
        <v>21</v>
      </c>
      <c r="O250" s="9"/>
    </row>
    <row r="251" ht="22.5" customHeight="1">
      <c r="A251" s="6" t="s">
        <v>480</v>
      </c>
      <c r="B251" s="6" t="s">
        <v>241</v>
      </c>
      <c r="C251" s="7">
        <v>46180.0</v>
      </c>
      <c r="D251" s="6" t="s">
        <v>17</v>
      </c>
      <c r="E251" s="6" t="s">
        <v>64</v>
      </c>
      <c r="F251" s="6" t="s">
        <v>32</v>
      </c>
      <c r="G251" s="8">
        <v>1.0</v>
      </c>
      <c r="H251" s="8">
        <v>149.0</v>
      </c>
      <c r="I251" s="8">
        <v>0.13</v>
      </c>
      <c r="J251" s="8">
        <v>129.63</v>
      </c>
      <c r="K251" s="6" t="s">
        <v>27</v>
      </c>
      <c r="L251" s="8">
        <v>3.4</v>
      </c>
      <c r="M251" s="8">
        <v>51.0</v>
      </c>
      <c r="N251" s="6" t="s">
        <v>21</v>
      </c>
      <c r="O251" s="9"/>
    </row>
    <row r="252" ht="22.5" customHeight="1">
      <c r="A252" s="6" t="s">
        <v>481</v>
      </c>
      <c r="B252" s="6" t="s">
        <v>482</v>
      </c>
      <c r="C252" s="7">
        <v>46181.0</v>
      </c>
      <c r="D252" s="6" t="s">
        <v>30</v>
      </c>
      <c r="E252" s="6" t="s">
        <v>86</v>
      </c>
      <c r="F252" s="6" t="s">
        <v>19</v>
      </c>
      <c r="G252" s="8">
        <v>2.0</v>
      </c>
      <c r="H252" s="8">
        <v>499.0</v>
      </c>
      <c r="I252" s="8">
        <v>0.09</v>
      </c>
      <c r="J252" s="8">
        <v>908.18</v>
      </c>
      <c r="K252" s="6" t="s">
        <v>33</v>
      </c>
      <c r="L252" s="8">
        <v>3.7</v>
      </c>
      <c r="M252" s="8">
        <v>34.0</v>
      </c>
      <c r="N252" s="6" t="s">
        <v>21</v>
      </c>
      <c r="O252" s="9"/>
    </row>
    <row r="253" ht="22.5" customHeight="1">
      <c r="A253" s="6" t="s">
        <v>483</v>
      </c>
      <c r="B253" s="6" t="s">
        <v>296</v>
      </c>
      <c r="C253" s="7">
        <v>46182.0</v>
      </c>
      <c r="D253" s="6" t="s">
        <v>30</v>
      </c>
      <c r="E253" s="6" t="s">
        <v>86</v>
      </c>
      <c r="F253" s="6" t="s">
        <v>65</v>
      </c>
      <c r="G253" s="8">
        <v>3.0</v>
      </c>
      <c r="H253" s="8">
        <v>99.0</v>
      </c>
      <c r="I253" s="8">
        <v>0.17</v>
      </c>
      <c r="J253" s="8">
        <v>246.51</v>
      </c>
      <c r="K253" s="6" t="s">
        <v>20</v>
      </c>
      <c r="L253" s="8">
        <v>3.7</v>
      </c>
      <c r="M253" s="8">
        <v>27.0</v>
      </c>
      <c r="N253" s="6" t="s">
        <v>21</v>
      </c>
      <c r="O253" s="9"/>
    </row>
    <row r="254" ht="22.5" customHeight="1">
      <c r="A254" s="6" t="s">
        <v>484</v>
      </c>
      <c r="B254" s="6" t="s">
        <v>485</v>
      </c>
      <c r="C254" s="7">
        <v>46183.0</v>
      </c>
      <c r="D254" s="6" t="s">
        <v>17</v>
      </c>
      <c r="E254" s="6" t="s">
        <v>18</v>
      </c>
      <c r="F254" s="6" t="s">
        <v>26</v>
      </c>
      <c r="G254" s="8">
        <v>6.0</v>
      </c>
      <c r="H254" s="8">
        <v>1999.0</v>
      </c>
      <c r="I254" s="8">
        <v>0.04</v>
      </c>
      <c r="J254" s="8">
        <v>11514.24</v>
      </c>
      <c r="K254" s="6" t="s">
        <v>33</v>
      </c>
      <c r="L254" s="8">
        <v>4.1</v>
      </c>
      <c r="M254" s="8">
        <v>34.0</v>
      </c>
      <c r="N254" s="6" t="s">
        <v>21</v>
      </c>
      <c r="O254" s="9"/>
    </row>
    <row r="255" ht="22.5" customHeight="1">
      <c r="A255" s="6" t="s">
        <v>486</v>
      </c>
      <c r="B255" s="6" t="s">
        <v>487</v>
      </c>
      <c r="C255" s="7">
        <v>46184.0</v>
      </c>
      <c r="D255" s="6" t="s">
        <v>24</v>
      </c>
      <c r="E255" s="6" t="s">
        <v>117</v>
      </c>
      <c r="F255" s="6" t="s">
        <v>19</v>
      </c>
      <c r="G255" s="8">
        <v>1.0</v>
      </c>
      <c r="H255" s="8">
        <v>199.0</v>
      </c>
      <c r="I255" s="8">
        <v>0.09</v>
      </c>
      <c r="J255" s="8">
        <v>181.09</v>
      </c>
      <c r="K255" s="6" t="s">
        <v>27</v>
      </c>
      <c r="L255" s="8">
        <v>4.9</v>
      </c>
      <c r="M255" s="8">
        <v>50.0</v>
      </c>
      <c r="N255" s="6" t="s">
        <v>21</v>
      </c>
      <c r="O255" s="9"/>
    </row>
    <row r="256" ht="22.5" customHeight="1">
      <c r="A256" s="6" t="s">
        <v>488</v>
      </c>
      <c r="B256" s="6" t="s">
        <v>208</v>
      </c>
      <c r="C256" s="7">
        <v>46185.0</v>
      </c>
      <c r="D256" s="6" t="s">
        <v>41</v>
      </c>
      <c r="E256" s="6" t="s">
        <v>54</v>
      </c>
      <c r="F256" s="6" t="s">
        <v>57</v>
      </c>
      <c r="G256" s="8">
        <v>5.0</v>
      </c>
      <c r="H256" s="8">
        <v>249.0</v>
      </c>
      <c r="I256" s="8">
        <v>0.12</v>
      </c>
      <c r="J256" s="8">
        <v>1095.6</v>
      </c>
      <c r="K256" s="6" t="s">
        <v>27</v>
      </c>
      <c r="L256" s="8">
        <v>4.6</v>
      </c>
      <c r="M256" s="8">
        <v>33.0</v>
      </c>
      <c r="N256" s="6" t="s">
        <v>21</v>
      </c>
      <c r="O256" s="9"/>
    </row>
    <row r="257" ht="22.5" customHeight="1">
      <c r="A257" s="6" t="s">
        <v>489</v>
      </c>
      <c r="B257" s="6" t="s">
        <v>147</v>
      </c>
      <c r="C257" s="7">
        <v>46186.0</v>
      </c>
      <c r="D257" s="6" t="s">
        <v>30</v>
      </c>
      <c r="E257" s="10"/>
      <c r="F257" s="6" t="s">
        <v>65</v>
      </c>
      <c r="G257" s="8">
        <v>1.0</v>
      </c>
      <c r="H257" s="8">
        <v>149.0</v>
      </c>
      <c r="I257" s="8">
        <v>0.03</v>
      </c>
      <c r="J257" s="8">
        <v>144.53</v>
      </c>
      <c r="K257" s="6" t="s">
        <v>33</v>
      </c>
      <c r="L257" s="8">
        <v>4.3</v>
      </c>
      <c r="M257" s="8">
        <v>41.0</v>
      </c>
      <c r="N257" s="6" t="s">
        <v>21</v>
      </c>
      <c r="O257" s="9"/>
    </row>
    <row r="258" ht="22.5" customHeight="1">
      <c r="A258" s="6" t="s">
        <v>490</v>
      </c>
      <c r="B258" s="6" t="s">
        <v>491</v>
      </c>
      <c r="C258" s="7">
        <v>46187.0</v>
      </c>
      <c r="D258" s="6" t="s">
        <v>30</v>
      </c>
      <c r="E258" s="6" t="s">
        <v>36</v>
      </c>
      <c r="F258" s="6" t="s">
        <v>32</v>
      </c>
      <c r="G258" s="8">
        <v>1.0</v>
      </c>
      <c r="H258" s="8">
        <v>499.0</v>
      </c>
      <c r="I258" s="8">
        <v>0.17</v>
      </c>
      <c r="J258" s="8">
        <v>414.17</v>
      </c>
      <c r="K258" s="6" t="s">
        <v>33</v>
      </c>
      <c r="L258" s="8">
        <v>2.9</v>
      </c>
      <c r="M258" s="8">
        <v>28.0</v>
      </c>
      <c r="N258" s="6" t="s">
        <v>21</v>
      </c>
      <c r="O258" s="9"/>
    </row>
    <row r="259" ht="22.5" customHeight="1">
      <c r="A259" s="6" t="s">
        <v>492</v>
      </c>
      <c r="B259" s="6" t="s">
        <v>239</v>
      </c>
      <c r="C259" s="7">
        <v>46188.0</v>
      </c>
      <c r="D259" s="6" t="s">
        <v>24</v>
      </c>
      <c r="E259" s="6" t="s">
        <v>25</v>
      </c>
      <c r="F259" s="6" t="s">
        <v>26</v>
      </c>
      <c r="G259" s="8">
        <v>2.0</v>
      </c>
      <c r="H259" s="8">
        <v>699.0</v>
      </c>
      <c r="I259" s="8">
        <v>0.17</v>
      </c>
      <c r="J259" s="8">
        <v>1160.34</v>
      </c>
      <c r="K259" s="6" t="s">
        <v>20</v>
      </c>
      <c r="L259" s="8">
        <v>4.4</v>
      </c>
      <c r="M259" s="8">
        <v>41.0</v>
      </c>
      <c r="N259" s="6" t="s">
        <v>21</v>
      </c>
      <c r="O259" s="9"/>
    </row>
    <row r="260" ht="22.5" customHeight="1">
      <c r="A260" s="6" t="s">
        <v>493</v>
      </c>
      <c r="B260" s="6" t="s">
        <v>494</v>
      </c>
      <c r="C260" s="7">
        <v>46189.0</v>
      </c>
      <c r="D260" s="6" t="s">
        <v>41</v>
      </c>
      <c r="E260" s="6" t="s">
        <v>42</v>
      </c>
      <c r="F260" s="6" t="s">
        <v>26</v>
      </c>
      <c r="G260" s="8">
        <v>3.0</v>
      </c>
      <c r="H260" s="8">
        <v>199.0</v>
      </c>
      <c r="I260" s="8">
        <v>0.09</v>
      </c>
      <c r="J260" s="8">
        <v>543.27</v>
      </c>
      <c r="K260" s="6" t="s">
        <v>33</v>
      </c>
      <c r="L260" s="8">
        <v>3.9</v>
      </c>
      <c r="M260" s="8">
        <v>25.0</v>
      </c>
      <c r="N260" s="6" t="s">
        <v>21</v>
      </c>
      <c r="O260" s="9"/>
    </row>
    <row r="261" ht="22.5" customHeight="1">
      <c r="A261" s="6" t="s">
        <v>495</v>
      </c>
      <c r="B261" s="6" t="s">
        <v>300</v>
      </c>
      <c r="C261" s="7">
        <v>46190.0</v>
      </c>
      <c r="D261" s="6" t="s">
        <v>30</v>
      </c>
      <c r="E261" s="6" t="s">
        <v>86</v>
      </c>
      <c r="F261" s="6" t="s">
        <v>26</v>
      </c>
      <c r="G261" s="8">
        <v>2.0</v>
      </c>
      <c r="H261" s="8">
        <v>99.0</v>
      </c>
      <c r="I261" s="8">
        <v>0.17</v>
      </c>
      <c r="J261" s="8">
        <v>164.34</v>
      </c>
      <c r="K261" s="6" t="s">
        <v>27</v>
      </c>
      <c r="L261" s="8">
        <v>3.7</v>
      </c>
      <c r="M261" s="8">
        <v>27.0</v>
      </c>
      <c r="N261" s="6" t="s">
        <v>21</v>
      </c>
      <c r="O261" s="9"/>
    </row>
    <row r="262" ht="22.5" customHeight="1">
      <c r="A262" s="6" t="s">
        <v>496</v>
      </c>
      <c r="B262" s="6" t="s">
        <v>239</v>
      </c>
      <c r="C262" s="7">
        <v>46191.0</v>
      </c>
      <c r="D262" s="6" t="s">
        <v>41</v>
      </c>
      <c r="E262" s="10"/>
      <c r="F262" s="6" t="s">
        <v>37</v>
      </c>
      <c r="G262" s="8">
        <v>3.0</v>
      </c>
      <c r="H262" s="8">
        <v>49.0</v>
      </c>
      <c r="I262" s="8">
        <v>0.0</v>
      </c>
      <c r="J262" s="8">
        <v>147.0</v>
      </c>
      <c r="K262" s="6" t="s">
        <v>27</v>
      </c>
      <c r="L262" s="8">
        <v>2.4</v>
      </c>
      <c r="M262" s="8">
        <v>35.0</v>
      </c>
      <c r="N262" s="6" t="s">
        <v>21</v>
      </c>
      <c r="O262" s="9"/>
    </row>
    <row r="263" ht="22.5" customHeight="1">
      <c r="A263" s="6" t="s">
        <v>497</v>
      </c>
      <c r="B263" s="6" t="s">
        <v>188</v>
      </c>
      <c r="C263" s="7">
        <v>46192.0</v>
      </c>
      <c r="D263" s="6" t="s">
        <v>41</v>
      </c>
      <c r="E263" s="6" t="s">
        <v>45</v>
      </c>
      <c r="F263" s="6" t="s">
        <v>37</v>
      </c>
      <c r="G263" s="8">
        <v>2.0</v>
      </c>
      <c r="H263" s="8">
        <v>299.0</v>
      </c>
      <c r="I263" s="8">
        <v>0.16</v>
      </c>
      <c r="J263" s="8">
        <v>502.32</v>
      </c>
      <c r="K263" s="6" t="s">
        <v>51</v>
      </c>
      <c r="L263" s="8">
        <v>4.8</v>
      </c>
      <c r="M263" s="8">
        <v>31.0</v>
      </c>
      <c r="N263" s="6" t="s">
        <v>21</v>
      </c>
      <c r="O263" s="9"/>
    </row>
    <row r="264" ht="22.5" customHeight="1">
      <c r="A264" s="6" t="s">
        <v>498</v>
      </c>
      <c r="B264" s="6" t="s">
        <v>90</v>
      </c>
      <c r="C264" s="7">
        <v>46193.0</v>
      </c>
      <c r="D264" s="6" t="s">
        <v>17</v>
      </c>
      <c r="E264" s="6" t="s">
        <v>18</v>
      </c>
      <c r="F264" s="6" t="s">
        <v>19</v>
      </c>
      <c r="G264" s="8">
        <v>2.0</v>
      </c>
      <c r="H264" s="8">
        <v>199.0</v>
      </c>
      <c r="I264" s="8">
        <v>0.0</v>
      </c>
      <c r="J264" s="8">
        <v>398.0</v>
      </c>
      <c r="K264" s="6" t="s">
        <v>27</v>
      </c>
      <c r="L264" s="8">
        <v>3.7</v>
      </c>
      <c r="M264" s="8">
        <v>34.0</v>
      </c>
      <c r="N264" s="6" t="s">
        <v>21</v>
      </c>
      <c r="O264" s="9"/>
    </row>
    <row r="265" ht="22.5" customHeight="1">
      <c r="A265" s="6" t="s">
        <v>499</v>
      </c>
      <c r="B265" s="6" t="s">
        <v>500</v>
      </c>
      <c r="C265" s="7">
        <v>46194.0</v>
      </c>
      <c r="D265" s="6" t="s">
        <v>17</v>
      </c>
      <c r="E265" s="6" t="s">
        <v>18</v>
      </c>
      <c r="F265" s="6" t="s">
        <v>32</v>
      </c>
      <c r="G265" s="8">
        <v>3.0</v>
      </c>
      <c r="H265" s="8">
        <v>299.0</v>
      </c>
      <c r="I265" s="8">
        <v>0.09</v>
      </c>
      <c r="J265" s="8">
        <v>816.27</v>
      </c>
      <c r="K265" s="6" t="s">
        <v>51</v>
      </c>
      <c r="L265" s="8">
        <v>4.5</v>
      </c>
      <c r="M265" s="8">
        <v>42.0</v>
      </c>
      <c r="N265" s="6" t="s">
        <v>21</v>
      </c>
      <c r="O265" s="9"/>
    </row>
    <row r="266" ht="22.5" customHeight="1">
      <c r="A266" s="6" t="s">
        <v>501</v>
      </c>
      <c r="B266" s="6" t="s">
        <v>502</v>
      </c>
      <c r="C266" s="7">
        <v>46195.0</v>
      </c>
      <c r="D266" s="6" t="s">
        <v>24</v>
      </c>
      <c r="E266" s="6" t="s">
        <v>117</v>
      </c>
      <c r="F266" s="6" t="s">
        <v>65</v>
      </c>
      <c r="G266" s="8">
        <v>3.0</v>
      </c>
      <c r="H266" s="8">
        <v>999.0</v>
      </c>
      <c r="I266" s="8">
        <v>0.1</v>
      </c>
      <c r="J266" s="8">
        <v>2697.3</v>
      </c>
      <c r="K266" s="6" t="s">
        <v>27</v>
      </c>
      <c r="L266" s="8">
        <v>4.2</v>
      </c>
      <c r="M266" s="8">
        <v>24.0</v>
      </c>
      <c r="N266" s="6" t="s">
        <v>21</v>
      </c>
      <c r="O266" s="9"/>
    </row>
    <row r="267" ht="22.5" customHeight="1">
      <c r="A267" s="6" t="s">
        <v>503</v>
      </c>
      <c r="B267" s="6" t="s">
        <v>99</v>
      </c>
      <c r="C267" s="7">
        <v>46196.0</v>
      </c>
      <c r="D267" s="6" t="s">
        <v>17</v>
      </c>
      <c r="E267" s="6" t="s">
        <v>18</v>
      </c>
      <c r="F267" s="6" t="s">
        <v>57</v>
      </c>
      <c r="G267" s="8">
        <v>2.0</v>
      </c>
      <c r="H267" s="8">
        <v>149.0</v>
      </c>
      <c r="I267" s="8">
        <v>0.1</v>
      </c>
      <c r="J267" s="8">
        <v>268.2</v>
      </c>
      <c r="K267" s="6" t="s">
        <v>33</v>
      </c>
      <c r="L267" s="8">
        <v>3.7</v>
      </c>
      <c r="M267" s="8">
        <v>30.0</v>
      </c>
      <c r="N267" s="6" t="s">
        <v>21</v>
      </c>
      <c r="O267" s="9"/>
    </row>
    <row r="268" ht="22.5" customHeight="1">
      <c r="A268" s="6" t="s">
        <v>504</v>
      </c>
      <c r="B268" s="6" t="s">
        <v>336</v>
      </c>
      <c r="C268" s="7">
        <v>46197.0</v>
      </c>
      <c r="D268" s="6" t="s">
        <v>41</v>
      </c>
      <c r="E268" s="6" t="s">
        <v>54</v>
      </c>
      <c r="F268" s="6" t="s">
        <v>19</v>
      </c>
      <c r="G268" s="8">
        <v>3.0</v>
      </c>
      <c r="H268" s="8">
        <v>1499.0</v>
      </c>
      <c r="I268" s="8">
        <v>0.18</v>
      </c>
      <c r="J268" s="8">
        <v>3687.54</v>
      </c>
      <c r="K268" s="6" t="s">
        <v>51</v>
      </c>
      <c r="L268" s="8">
        <v>4.7</v>
      </c>
      <c r="M268" s="8">
        <v>36.0</v>
      </c>
      <c r="N268" s="6" t="s">
        <v>21</v>
      </c>
      <c r="O268" s="9"/>
    </row>
    <row r="269" ht="22.5" customHeight="1">
      <c r="A269" s="6" t="s">
        <v>505</v>
      </c>
      <c r="B269" s="6" t="s">
        <v>506</v>
      </c>
      <c r="C269" s="7">
        <v>46198.0</v>
      </c>
      <c r="D269" s="6" t="s">
        <v>24</v>
      </c>
      <c r="E269" s="6" t="s">
        <v>25</v>
      </c>
      <c r="F269" s="6" t="s">
        <v>19</v>
      </c>
      <c r="G269" s="8">
        <v>1.0</v>
      </c>
      <c r="H269" s="8">
        <v>499.0</v>
      </c>
      <c r="I269" s="8">
        <v>0.18</v>
      </c>
      <c r="J269" s="8">
        <v>409.18</v>
      </c>
      <c r="K269" s="6" t="s">
        <v>51</v>
      </c>
      <c r="L269" s="8">
        <v>5.0</v>
      </c>
      <c r="M269" s="8">
        <v>45.0</v>
      </c>
      <c r="N269" s="6" t="s">
        <v>21</v>
      </c>
      <c r="O269" s="9"/>
    </row>
    <row r="270" ht="22.5" customHeight="1">
      <c r="A270" s="6" t="s">
        <v>507</v>
      </c>
      <c r="B270" s="6" t="s">
        <v>508</v>
      </c>
      <c r="C270" s="7">
        <v>46199.0</v>
      </c>
      <c r="D270" s="6" t="s">
        <v>30</v>
      </c>
      <c r="E270" s="6" t="s">
        <v>31</v>
      </c>
      <c r="F270" s="6" t="s">
        <v>26</v>
      </c>
      <c r="G270" s="8">
        <v>1.0</v>
      </c>
      <c r="H270" s="8">
        <v>199.0</v>
      </c>
      <c r="I270" s="8">
        <v>0.21</v>
      </c>
      <c r="J270" s="8">
        <v>157.21</v>
      </c>
      <c r="K270" s="6" t="s">
        <v>51</v>
      </c>
      <c r="L270" s="8">
        <v>3.7</v>
      </c>
      <c r="M270" s="8">
        <v>39.0</v>
      </c>
      <c r="N270" s="6" t="s">
        <v>21</v>
      </c>
      <c r="O270" s="9"/>
    </row>
    <row r="271" ht="22.5" customHeight="1">
      <c r="A271" s="6" t="s">
        <v>509</v>
      </c>
      <c r="B271" s="6" t="s">
        <v>510</v>
      </c>
      <c r="C271" s="7">
        <v>46200.0</v>
      </c>
      <c r="D271" s="6" t="s">
        <v>17</v>
      </c>
      <c r="E271" s="6" t="s">
        <v>75</v>
      </c>
      <c r="F271" s="6" t="s">
        <v>32</v>
      </c>
      <c r="G271" s="8">
        <v>2.0</v>
      </c>
      <c r="H271" s="8">
        <v>1499.0</v>
      </c>
      <c r="I271" s="8">
        <v>0.12</v>
      </c>
      <c r="J271" s="8">
        <v>2638.24</v>
      </c>
      <c r="K271" s="6" t="s">
        <v>51</v>
      </c>
      <c r="L271" s="8">
        <v>4.5</v>
      </c>
      <c r="M271" s="8">
        <v>37.0</v>
      </c>
      <c r="N271" s="6" t="s">
        <v>21</v>
      </c>
      <c r="O271" s="9"/>
    </row>
    <row r="272" ht="22.5" customHeight="1">
      <c r="A272" s="6" t="s">
        <v>511</v>
      </c>
      <c r="B272" s="6" t="s">
        <v>512</v>
      </c>
      <c r="C272" s="7">
        <v>46201.0</v>
      </c>
      <c r="D272" s="6" t="s">
        <v>24</v>
      </c>
      <c r="E272" s="6" t="s">
        <v>25</v>
      </c>
      <c r="F272" s="6" t="s">
        <v>65</v>
      </c>
      <c r="G272" s="8">
        <v>1.0</v>
      </c>
      <c r="H272" s="8">
        <v>699.0</v>
      </c>
      <c r="I272" s="8">
        <v>0.19</v>
      </c>
      <c r="J272" s="8">
        <v>566.19</v>
      </c>
      <c r="K272" s="6" t="s">
        <v>27</v>
      </c>
      <c r="L272" s="8">
        <v>3.4</v>
      </c>
      <c r="M272" s="8">
        <v>41.0</v>
      </c>
      <c r="N272" s="6" t="s">
        <v>21</v>
      </c>
      <c r="O272" s="9"/>
    </row>
    <row r="273" ht="22.5" customHeight="1">
      <c r="A273" s="6" t="s">
        <v>513</v>
      </c>
      <c r="B273" s="6" t="s">
        <v>514</v>
      </c>
      <c r="C273" s="7">
        <v>46202.0</v>
      </c>
      <c r="D273" s="6" t="s">
        <v>41</v>
      </c>
      <c r="E273" s="6" t="s">
        <v>42</v>
      </c>
      <c r="F273" s="6" t="s">
        <v>32</v>
      </c>
      <c r="G273" s="8">
        <v>2.0</v>
      </c>
      <c r="H273" s="8">
        <v>699.0</v>
      </c>
      <c r="I273" s="8">
        <v>0.12</v>
      </c>
      <c r="J273" s="8">
        <v>1230.24</v>
      </c>
      <c r="K273" s="6" t="s">
        <v>33</v>
      </c>
      <c r="L273" s="8">
        <v>4.2</v>
      </c>
      <c r="M273" s="8">
        <v>47.0</v>
      </c>
      <c r="N273" s="6" t="s">
        <v>21</v>
      </c>
      <c r="O273" s="9"/>
    </row>
    <row r="274" ht="22.5" customHeight="1">
      <c r="A274" s="6" t="s">
        <v>515</v>
      </c>
      <c r="B274" s="6" t="s">
        <v>516</v>
      </c>
      <c r="C274" s="7">
        <v>46203.0</v>
      </c>
      <c r="D274" s="6" t="s">
        <v>24</v>
      </c>
      <c r="E274" s="6" t="s">
        <v>140</v>
      </c>
      <c r="F274" s="6" t="s">
        <v>26</v>
      </c>
      <c r="G274" s="8">
        <v>2.0</v>
      </c>
      <c r="H274" s="8">
        <v>299.0</v>
      </c>
      <c r="I274" s="8">
        <v>0.2</v>
      </c>
      <c r="J274" s="8">
        <v>478.4</v>
      </c>
      <c r="K274" s="6" t="s">
        <v>27</v>
      </c>
      <c r="L274" s="8">
        <v>4.7</v>
      </c>
      <c r="M274" s="8">
        <v>25.0</v>
      </c>
      <c r="N274" s="6" t="s">
        <v>21</v>
      </c>
      <c r="O274" s="9"/>
    </row>
    <row r="275" ht="22.5" customHeight="1">
      <c r="A275" s="6" t="s">
        <v>517</v>
      </c>
      <c r="B275" s="6" t="s">
        <v>132</v>
      </c>
      <c r="C275" s="7">
        <v>46204.0</v>
      </c>
      <c r="D275" s="6" t="s">
        <v>30</v>
      </c>
      <c r="E275" s="6" t="s">
        <v>86</v>
      </c>
      <c r="F275" s="6" t="s">
        <v>19</v>
      </c>
      <c r="G275" s="8">
        <v>2.0</v>
      </c>
      <c r="H275" s="8">
        <v>249.0</v>
      </c>
      <c r="I275" s="8">
        <v>0.0</v>
      </c>
      <c r="J275" s="8">
        <v>498.0</v>
      </c>
      <c r="K275" s="6" t="s">
        <v>27</v>
      </c>
      <c r="L275" s="8">
        <v>4.1</v>
      </c>
      <c r="M275" s="8">
        <v>41.0</v>
      </c>
      <c r="N275" s="6" t="s">
        <v>21</v>
      </c>
      <c r="O275" s="9"/>
    </row>
    <row r="276" ht="22.5" customHeight="1">
      <c r="A276" s="6" t="s">
        <v>518</v>
      </c>
      <c r="B276" s="6" t="s">
        <v>519</v>
      </c>
      <c r="C276" s="7">
        <v>46205.0</v>
      </c>
      <c r="D276" s="6" t="s">
        <v>24</v>
      </c>
      <c r="E276" s="6" t="s">
        <v>48</v>
      </c>
      <c r="F276" s="6" t="s">
        <v>57</v>
      </c>
      <c r="G276" s="8">
        <v>4.0</v>
      </c>
      <c r="H276" s="8">
        <v>1499.0</v>
      </c>
      <c r="I276" s="8">
        <v>0.16</v>
      </c>
      <c r="J276" s="8">
        <v>5036.64</v>
      </c>
      <c r="K276" s="6" t="s">
        <v>51</v>
      </c>
      <c r="L276" s="8">
        <v>4.2</v>
      </c>
      <c r="M276" s="8">
        <v>40.0</v>
      </c>
      <c r="N276" s="6" t="s">
        <v>21</v>
      </c>
      <c r="O276" s="9"/>
    </row>
    <row r="277" ht="22.5" customHeight="1">
      <c r="A277" s="6" t="s">
        <v>520</v>
      </c>
      <c r="B277" s="6" t="s">
        <v>449</v>
      </c>
      <c r="C277" s="7">
        <v>46206.0</v>
      </c>
      <c r="D277" s="6" t="s">
        <v>24</v>
      </c>
      <c r="E277" s="6" t="s">
        <v>25</v>
      </c>
      <c r="F277" s="6" t="s">
        <v>19</v>
      </c>
      <c r="G277" s="8">
        <v>6.0</v>
      </c>
      <c r="H277" s="8">
        <v>99.0</v>
      </c>
      <c r="I277" s="8">
        <v>0.08</v>
      </c>
      <c r="J277" s="8">
        <v>546.48</v>
      </c>
      <c r="K277" s="6" t="s">
        <v>51</v>
      </c>
      <c r="L277" s="8">
        <v>3.0</v>
      </c>
      <c r="M277" s="8">
        <v>52.0</v>
      </c>
      <c r="N277" s="6" t="s">
        <v>38</v>
      </c>
      <c r="O277" s="9"/>
    </row>
    <row r="278" ht="22.5" customHeight="1">
      <c r="A278" s="6" t="s">
        <v>521</v>
      </c>
      <c r="B278" s="6" t="s">
        <v>522</v>
      </c>
      <c r="C278" s="7">
        <v>46207.0</v>
      </c>
      <c r="D278" s="6" t="s">
        <v>17</v>
      </c>
      <c r="E278" s="6" t="s">
        <v>64</v>
      </c>
      <c r="F278" s="6" t="s">
        <v>26</v>
      </c>
      <c r="G278" s="8">
        <v>1.0</v>
      </c>
      <c r="H278" s="8">
        <v>299.0</v>
      </c>
      <c r="I278" s="8">
        <v>0.0</v>
      </c>
      <c r="J278" s="8">
        <v>299.0</v>
      </c>
      <c r="K278" s="6" t="s">
        <v>27</v>
      </c>
      <c r="L278" s="8">
        <v>4.4</v>
      </c>
      <c r="M278" s="8">
        <v>35.0</v>
      </c>
      <c r="N278" s="6" t="s">
        <v>21</v>
      </c>
      <c r="O278" s="9"/>
    </row>
    <row r="279" ht="22.5" customHeight="1">
      <c r="A279" s="6" t="s">
        <v>523</v>
      </c>
      <c r="B279" s="6" t="s">
        <v>172</v>
      </c>
      <c r="C279" s="7">
        <v>46208.0</v>
      </c>
      <c r="D279" s="6" t="s">
        <v>24</v>
      </c>
      <c r="E279" s="6" t="s">
        <v>140</v>
      </c>
      <c r="F279" s="6" t="s">
        <v>65</v>
      </c>
      <c r="G279" s="8">
        <v>5.0</v>
      </c>
      <c r="H279" s="8">
        <v>499.0</v>
      </c>
      <c r="I279" s="8">
        <v>0.15</v>
      </c>
      <c r="J279" s="8">
        <v>2120.75</v>
      </c>
      <c r="K279" s="6" t="s">
        <v>27</v>
      </c>
      <c r="L279" s="8">
        <v>4.1</v>
      </c>
      <c r="M279" s="8">
        <v>31.0</v>
      </c>
      <c r="N279" s="6" t="s">
        <v>21</v>
      </c>
      <c r="O279" s="9"/>
    </row>
    <row r="280" ht="22.5" customHeight="1">
      <c r="A280" s="6" t="s">
        <v>524</v>
      </c>
      <c r="B280" s="6" t="s">
        <v>525</v>
      </c>
      <c r="C280" s="7">
        <v>46209.0</v>
      </c>
      <c r="D280" s="6" t="s">
        <v>41</v>
      </c>
      <c r="E280" s="6" t="s">
        <v>94</v>
      </c>
      <c r="F280" s="6" t="s">
        <v>26</v>
      </c>
      <c r="G280" s="8">
        <v>2.0</v>
      </c>
      <c r="H280" s="8">
        <v>199.0</v>
      </c>
      <c r="I280" s="8">
        <v>0.22</v>
      </c>
      <c r="J280" s="8">
        <v>310.44</v>
      </c>
      <c r="K280" s="6" t="s">
        <v>51</v>
      </c>
      <c r="L280" s="8">
        <v>3.3</v>
      </c>
      <c r="M280" s="8">
        <v>36.0</v>
      </c>
      <c r="N280" s="6" t="s">
        <v>38</v>
      </c>
      <c r="O280" s="9"/>
    </row>
    <row r="281" ht="22.5" customHeight="1">
      <c r="A281" s="6" t="s">
        <v>526</v>
      </c>
      <c r="B281" s="6" t="s">
        <v>218</v>
      </c>
      <c r="C281" s="7">
        <v>46210.0</v>
      </c>
      <c r="D281" s="6" t="s">
        <v>17</v>
      </c>
      <c r="E281" s="6" t="s">
        <v>64</v>
      </c>
      <c r="F281" s="6" t="s">
        <v>37</v>
      </c>
      <c r="G281" s="8">
        <v>1.0</v>
      </c>
      <c r="H281" s="8">
        <v>699.0</v>
      </c>
      <c r="I281" s="8">
        <v>0.0</v>
      </c>
      <c r="J281" s="8">
        <v>699.0</v>
      </c>
      <c r="K281" s="6" t="s">
        <v>20</v>
      </c>
      <c r="L281" s="8">
        <v>4.5</v>
      </c>
      <c r="M281" s="8">
        <v>38.0</v>
      </c>
      <c r="N281" s="6" t="s">
        <v>21</v>
      </c>
      <c r="O281" s="9"/>
    </row>
    <row r="282" ht="22.5" customHeight="1">
      <c r="A282" s="6" t="s">
        <v>527</v>
      </c>
      <c r="B282" s="6" t="s">
        <v>276</v>
      </c>
      <c r="C282" s="7">
        <v>46211.0</v>
      </c>
      <c r="D282" s="6" t="s">
        <v>24</v>
      </c>
      <c r="E282" s="6" t="s">
        <v>117</v>
      </c>
      <c r="F282" s="6" t="s">
        <v>65</v>
      </c>
      <c r="G282" s="8">
        <v>3.0</v>
      </c>
      <c r="H282" s="8">
        <v>199.0</v>
      </c>
      <c r="I282" s="8">
        <v>0.03</v>
      </c>
      <c r="J282" s="8">
        <v>579.09</v>
      </c>
      <c r="K282" s="6" t="s">
        <v>33</v>
      </c>
      <c r="L282" s="8">
        <v>3.9</v>
      </c>
      <c r="M282" s="8">
        <v>47.0</v>
      </c>
      <c r="N282" s="6" t="s">
        <v>21</v>
      </c>
      <c r="O282" s="9"/>
    </row>
    <row r="283" ht="22.5" customHeight="1">
      <c r="A283" s="6" t="s">
        <v>528</v>
      </c>
      <c r="B283" s="6" t="s">
        <v>516</v>
      </c>
      <c r="C283" s="7">
        <v>46212.0</v>
      </c>
      <c r="D283" s="6" t="s">
        <v>30</v>
      </c>
      <c r="E283" s="6" t="s">
        <v>86</v>
      </c>
      <c r="F283" s="6" t="s">
        <v>65</v>
      </c>
      <c r="G283" s="8">
        <v>1.0</v>
      </c>
      <c r="H283" s="8">
        <v>99.0</v>
      </c>
      <c r="I283" s="8">
        <v>0.05</v>
      </c>
      <c r="J283" s="8">
        <v>94.05</v>
      </c>
      <c r="K283" s="6" t="s">
        <v>33</v>
      </c>
      <c r="L283" s="8">
        <v>3.9</v>
      </c>
      <c r="M283" s="8">
        <v>57.0</v>
      </c>
      <c r="N283" s="6" t="s">
        <v>21</v>
      </c>
      <c r="O283" s="9"/>
    </row>
    <row r="284" ht="22.5" customHeight="1">
      <c r="A284" s="6" t="s">
        <v>529</v>
      </c>
      <c r="B284" s="6" t="s">
        <v>323</v>
      </c>
      <c r="C284" s="7">
        <v>46213.0</v>
      </c>
      <c r="D284" s="6" t="s">
        <v>17</v>
      </c>
      <c r="E284" s="10"/>
      <c r="F284" s="6" t="s">
        <v>37</v>
      </c>
      <c r="G284" s="8">
        <v>1.0</v>
      </c>
      <c r="H284" s="8">
        <v>149.0</v>
      </c>
      <c r="I284" s="8">
        <v>0.11</v>
      </c>
      <c r="J284" s="8">
        <v>132.61</v>
      </c>
      <c r="K284" s="6" t="s">
        <v>20</v>
      </c>
      <c r="L284" s="8">
        <v>3.8</v>
      </c>
      <c r="M284" s="8">
        <v>30.0</v>
      </c>
      <c r="N284" s="6" t="s">
        <v>21</v>
      </c>
      <c r="O284" s="9"/>
    </row>
    <row r="285" ht="22.5" customHeight="1">
      <c r="A285" s="6" t="s">
        <v>530</v>
      </c>
      <c r="B285" s="6" t="s">
        <v>500</v>
      </c>
      <c r="C285" s="7">
        <v>46214.0</v>
      </c>
      <c r="D285" s="6" t="s">
        <v>30</v>
      </c>
      <c r="E285" s="6" t="s">
        <v>70</v>
      </c>
      <c r="F285" s="6" t="s">
        <v>57</v>
      </c>
      <c r="G285" s="8">
        <v>2.0</v>
      </c>
      <c r="H285" s="8">
        <v>999.0</v>
      </c>
      <c r="I285" s="8">
        <v>0.13</v>
      </c>
      <c r="J285" s="8">
        <v>1738.26</v>
      </c>
      <c r="K285" s="6" t="s">
        <v>20</v>
      </c>
      <c r="L285" s="8">
        <v>4.7</v>
      </c>
      <c r="M285" s="8">
        <v>34.0</v>
      </c>
      <c r="N285" s="6" t="s">
        <v>21</v>
      </c>
      <c r="O285" s="9"/>
    </row>
    <row r="286" ht="22.5" customHeight="1">
      <c r="A286" s="6" t="s">
        <v>531</v>
      </c>
      <c r="B286" s="6" t="s">
        <v>247</v>
      </c>
      <c r="C286" s="7">
        <v>46215.0</v>
      </c>
      <c r="D286" s="6" t="s">
        <v>30</v>
      </c>
      <c r="E286" s="6" t="s">
        <v>36</v>
      </c>
      <c r="F286" s="6" t="s">
        <v>32</v>
      </c>
      <c r="G286" s="8">
        <v>2.0</v>
      </c>
      <c r="H286" s="8">
        <v>999.0</v>
      </c>
      <c r="I286" s="8">
        <v>0.1</v>
      </c>
      <c r="J286" s="8">
        <v>1798.2</v>
      </c>
      <c r="K286" s="6" t="s">
        <v>33</v>
      </c>
      <c r="L286" s="8">
        <v>3.0</v>
      </c>
      <c r="M286" s="8">
        <v>42.0</v>
      </c>
      <c r="N286" s="6" t="s">
        <v>21</v>
      </c>
      <c r="O286" s="9"/>
    </row>
    <row r="287" ht="22.5" customHeight="1">
      <c r="A287" s="6" t="s">
        <v>532</v>
      </c>
      <c r="B287" s="6" t="s">
        <v>61</v>
      </c>
      <c r="C287" s="7">
        <v>46216.0</v>
      </c>
      <c r="D287" s="6" t="s">
        <v>24</v>
      </c>
      <c r="E287" s="6" t="s">
        <v>117</v>
      </c>
      <c r="F287" s="6" t="s">
        <v>19</v>
      </c>
      <c r="G287" s="8">
        <v>1.0</v>
      </c>
      <c r="H287" s="8">
        <v>999.0</v>
      </c>
      <c r="I287" s="8">
        <v>0.08</v>
      </c>
      <c r="J287" s="8">
        <v>919.08</v>
      </c>
      <c r="K287" s="6" t="s">
        <v>27</v>
      </c>
      <c r="L287" s="8">
        <v>4.6</v>
      </c>
      <c r="M287" s="8">
        <v>51.0</v>
      </c>
      <c r="N287" s="6" t="s">
        <v>21</v>
      </c>
      <c r="O287" s="9"/>
    </row>
    <row r="288" ht="22.5" customHeight="1">
      <c r="A288" s="6" t="s">
        <v>533</v>
      </c>
      <c r="B288" s="6" t="s">
        <v>534</v>
      </c>
      <c r="C288" s="7">
        <v>46217.0</v>
      </c>
      <c r="D288" s="6" t="s">
        <v>41</v>
      </c>
      <c r="E288" s="6" t="s">
        <v>42</v>
      </c>
      <c r="F288" s="6" t="s">
        <v>57</v>
      </c>
      <c r="G288" s="8">
        <v>1.0</v>
      </c>
      <c r="H288" s="8">
        <v>49.0</v>
      </c>
      <c r="I288" s="8">
        <v>0.03</v>
      </c>
      <c r="J288" s="8">
        <v>47.53</v>
      </c>
      <c r="K288" s="6" t="s">
        <v>20</v>
      </c>
      <c r="L288" s="8">
        <v>3.9</v>
      </c>
      <c r="M288" s="8">
        <v>27.0</v>
      </c>
      <c r="N288" s="6" t="s">
        <v>21</v>
      </c>
      <c r="O288" s="9"/>
    </row>
    <row r="289" ht="22.5" customHeight="1">
      <c r="A289" s="6" t="s">
        <v>535</v>
      </c>
      <c r="B289" s="6" t="s">
        <v>267</v>
      </c>
      <c r="C289" s="7">
        <v>46218.0</v>
      </c>
      <c r="D289" s="6" t="s">
        <v>30</v>
      </c>
      <c r="E289" s="6" t="s">
        <v>86</v>
      </c>
      <c r="F289" s="6" t="s">
        <v>32</v>
      </c>
      <c r="G289" s="8">
        <v>1.0</v>
      </c>
      <c r="H289" s="8">
        <v>49.0</v>
      </c>
      <c r="I289" s="8">
        <v>0.14</v>
      </c>
      <c r="J289" s="8">
        <v>42.14</v>
      </c>
      <c r="K289" s="6" t="s">
        <v>51</v>
      </c>
      <c r="L289" s="8">
        <v>4.2</v>
      </c>
      <c r="M289" s="8">
        <v>41.0</v>
      </c>
      <c r="N289" s="6" t="s">
        <v>21</v>
      </c>
      <c r="O289" s="9"/>
    </row>
    <row r="290" ht="22.5" customHeight="1">
      <c r="A290" s="6" t="s">
        <v>536</v>
      </c>
      <c r="B290" s="6" t="s">
        <v>537</v>
      </c>
      <c r="C290" s="7">
        <v>46219.0</v>
      </c>
      <c r="D290" s="6" t="s">
        <v>24</v>
      </c>
      <c r="E290" s="6" t="s">
        <v>25</v>
      </c>
      <c r="F290" s="6" t="s">
        <v>65</v>
      </c>
      <c r="G290" s="8">
        <v>1.0</v>
      </c>
      <c r="H290" s="8">
        <v>149.0</v>
      </c>
      <c r="I290" s="8">
        <v>0.15</v>
      </c>
      <c r="J290" s="8">
        <v>126.65</v>
      </c>
      <c r="K290" s="6" t="s">
        <v>27</v>
      </c>
      <c r="L290" s="8">
        <v>4.5</v>
      </c>
      <c r="M290" s="8">
        <v>27.0</v>
      </c>
      <c r="N290" s="6" t="s">
        <v>21</v>
      </c>
      <c r="O290" s="9"/>
    </row>
    <row r="291" ht="22.5" customHeight="1">
      <c r="A291" s="6" t="s">
        <v>538</v>
      </c>
      <c r="B291" s="6" t="s">
        <v>539</v>
      </c>
      <c r="C291" s="7">
        <v>46220.0</v>
      </c>
      <c r="D291" s="6" t="s">
        <v>30</v>
      </c>
      <c r="E291" s="6" t="s">
        <v>31</v>
      </c>
      <c r="F291" s="6" t="s">
        <v>65</v>
      </c>
      <c r="G291" s="8">
        <v>2.0</v>
      </c>
      <c r="H291" s="8">
        <v>999.0</v>
      </c>
      <c r="I291" s="8">
        <v>0.27</v>
      </c>
      <c r="J291" s="8">
        <v>1458.54</v>
      </c>
      <c r="K291" s="6" t="s">
        <v>20</v>
      </c>
      <c r="L291" s="8">
        <v>2.8</v>
      </c>
      <c r="M291" s="8">
        <v>44.0</v>
      </c>
      <c r="N291" s="6" t="s">
        <v>21</v>
      </c>
      <c r="O291" s="9"/>
    </row>
    <row r="292" ht="22.5" customHeight="1">
      <c r="A292" s="6" t="s">
        <v>540</v>
      </c>
      <c r="B292" s="6" t="s">
        <v>541</v>
      </c>
      <c r="C292" s="7">
        <v>46221.0</v>
      </c>
      <c r="D292" s="6" t="s">
        <v>17</v>
      </c>
      <c r="E292" s="6" t="s">
        <v>64</v>
      </c>
      <c r="F292" s="6" t="s">
        <v>57</v>
      </c>
      <c r="G292" s="8">
        <v>3.0</v>
      </c>
      <c r="H292" s="8">
        <v>99.0</v>
      </c>
      <c r="I292" s="8">
        <v>0.13</v>
      </c>
      <c r="J292" s="8">
        <v>258.39</v>
      </c>
      <c r="K292" s="6" t="s">
        <v>20</v>
      </c>
      <c r="L292" s="8">
        <v>4.4</v>
      </c>
      <c r="M292" s="8">
        <v>41.0</v>
      </c>
      <c r="N292" s="6" t="s">
        <v>21</v>
      </c>
      <c r="O292" s="9"/>
    </row>
    <row r="293" ht="22.5" customHeight="1">
      <c r="A293" s="6" t="s">
        <v>542</v>
      </c>
      <c r="B293" s="6" t="s">
        <v>145</v>
      </c>
      <c r="C293" s="7">
        <v>46222.0</v>
      </c>
      <c r="D293" s="6" t="s">
        <v>41</v>
      </c>
      <c r="E293" s="6" t="s">
        <v>45</v>
      </c>
      <c r="F293" s="6" t="s">
        <v>32</v>
      </c>
      <c r="G293" s="8">
        <v>1.0</v>
      </c>
      <c r="H293" s="8">
        <v>1499.0</v>
      </c>
      <c r="I293" s="8">
        <v>0.25</v>
      </c>
      <c r="J293" s="8">
        <v>1124.25</v>
      </c>
      <c r="K293" s="6" t="s">
        <v>33</v>
      </c>
      <c r="L293" s="8">
        <v>3.4</v>
      </c>
      <c r="M293" s="8">
        <v>25.0</v>
      </c>
      <c r="N293" s="6" t="s">
        <v>21</v>
      </c>
      <c r="O293" s="9"/>
    </row>
    <row r="294" ht="22.5" customHeight="1">
      <c r="A294" s="6" t="s">
        <v>543</v>
      </c>
      <c r="B294" s="6" t="s">
        <v>544</v>
      </c>
      <c r="C294" s="7">
        <v>46223.0</v>
      </c>
      <c r="D294" s="6" t="s">
        <v>24</v>
      </c>
      <c r="E294" s="6" t="s">
        <v>25</v>
      </c>
      <c r="F294" s="6" t="s">
        <v>32</v>
      </c>
      <c r="G294" s="8">
        <v>4.0</v>
      </c>
      <c r="H294" s="8">
        <v>249.0</v>
      </c>
      <c r="I294" s="8">
        <v>0.06</v>
      </c>
      <c r="J294" s="8">
        <v>936.24</v>
      </c>
      <c r="K294" s="6" t="s">
        <v>20</v>
      </c>
      <c r="L294" s="8">
        <v>4.4</v>
      </c>
      <c r="M294" s="8">
        <v>47.0</v>
      </c>
      <c r="N294" s="6" t="s">
        <v>21</v>
      </c>
      <c r="O294" s="9"/>
    </row>
    <row r="295" ht="22.5" customHeight="1">
      <c r="A295" s="6" t="s">
        <v>545</v>
      </c>
      <c r="B295" s="6" t="s">
        <v>546</v>
      </c>
      <c r="C295" s="7">
        <v>46224.0</v>
      </c>
      <c r="D295" s="6" t="s">
        <v>24</v>
      </c>
      <c r="E295" s="6" t="s">
        <v>117</v>
      </c>
      <c r="F295" s="6" t="s">
        <v>19</v>
      </c>
      <c r="G295" s="8">
        <v>4.0</v>
      </c>
      <c r="H295" s="8">
        <v>149.0</v>
      </c>
      <c r="I295" s="8">
        <v>0.18</v>
      </c>
      <c r="J295" s="8">
        <v>488.72</v>
      </c>
      <c r="K295" s="6" t="s">
        <v>27</v>
      </c>
      <c r="L295" s="8">
        <v>4.5</v>
      </c>
      <c r="M295" s="8">
        <v>31.0</v>
      </c>
      <c r="N295" s="6" t="s">
        <v>21</v>
      </c>
      <c r="O295" s="9"/>
    </row>
    <row r="296" ht="22.5" customHeight="1">
      <c r="A296" s="6" t="s">
        <v>547</v>
      </c>
      <c r="B296" s="6" t="s">
        <v>548</v>
      </c>
      <c r="C296" s="7">
        <v>46225.0</v>
      </c>
      <c r="D296" s="6" t="s">
        <v>41</v>
      </c>
      <c r="E296" s="6" t="s">
        <v>94</v>
      </c>
      <c r="F296" s="6" t="s">
        <v>32</v>
      </c>
      <c r="G296" s="8">
        <v>2.0</v>
      </c>
      <c r="H296" s="8">
        <v>299.0</v>
      </c>
      <c r="I296" s="8">
        <v>0.12</v>
      </c>
      <c r="J296" s="8">
        <v>526.24</v>
      </c>
      <c r="K296" s="6" t="s">
        <v>33</v>
      </c>
      <c r="L296" s="8">
        <v>3.4</v>
      </c>
      <c r="M296" s="8">
        <v>57.0</v>
      </c>
      <c r="N296" s="6" t="s">
        <v>21</v>
      </c>
      <c r="O296" s="9"/>
    </row>
    <row r="297" ht="22.5" customHeight="1">
      <c r="A297" s="6" t="s">
        <v>549</v>
      </c>
      <c r="B297" s="6" t="s">
        <v>500</v>
      </c>
      <c r="C297" s="7">
        <v>46226.0</v>
      </c>
      <c r="D297" s="6" t="s">
        <v>24</v>
      </c>
      <c r="E297" s="6" t="s">
        <v>48</v>
      </c>
      <c r="F297" s="6" t="s">
        <v>65</v>
      </c>
      <c r="G297" s="8">
        <v>2.0</v>
      </c>
      <c r="H297" s="8">
        <v>299.0</v>
      </c>
      <c r="I297" s="8">
        <v>0.08</v>
      </c>
      <c r="J297" s="8">
        <v>550.16</v>
      </c>
      <c r="K297" s="6" t="s">
        <v>51</v>
      </c>
      <c r="L297" s="8">
        <v>3.6</v>
      </c>
      <c r="M297" s="8">
        <v>48.0</v>
      </c>
      <c r="N297" s="6" t="s">
        <v>21</v>
      </c>
      <c r="O297" s="9"/>
    </row>
    <row r="298" ht="22.5" customHeight="1">
      <c r="A298" s="6" t="s">
        <v>550</v>
      </c>
      <c r="B298" s="6" t="s">
        <v>551</v>
      </c>
      <c r="C298" s="7">
        <v>46227.0</v>
      </c>
      <c r="D298" s="6" t="s">
        <v>17</v>
      </c>
      <c r="E298" s="6" t="s">
        <v>64</v>
      </c>
      <c r="F298" s="6" t="s">
        <v>37</v>
      </c>
      <c r="G298" s="8">
        <v>6.0</v>
      </c>
      <c r="H298" s="8">
        <v>499.0</v>
      </c>
      <c r="I298" s="8">
        <v>0.22</v>
      </c>
      <c r="J298" s="8">
        <v>2335.32</v>
      </c>
      <c r="K298" s="6" t="s">
        <v>20</v>
      </c>
      <c r="L298" s="8">
        <v>3.3</v>
      </c>
      <c r="M298" s="8">
        <v>37.0</v>
      </c>
      <c r="N298" s="6" t="s">
        <v>38</v>
      </c>
      <c r="O298" s="9"/>
    </row>
    <row r="299" ht="22.5" customHeight="1">
      <c r="A299" s="6" t="s">
        <v>552</v>
      </c>
      <c r="B299" s="6" t="s">
        <v>553</v>
      </c>
      <c r="C299" s="7">
        <v>46228.0</v>
      </c>
      <c r="D299" s="6" t="s">
        <v>17</v>
      </c>
      <c r="E299" s="6" t="s">
        <v>64</v>
      </c>
      <c r="F299" s="6" t="s">
        <v>26</v>
      </c>
      <c r="G299" s="8">
        <v>2.0</v>
      </c>
      <c r="H299" s="8">
        <v>1499.0</v>
      </c>
      <c r="I299" s="8">
        <v>0.15</v>
      </c>
      <c r="J299" s="8">
        <v>2548.3</v>
      </c>
      <c r="K299" s="6" t="s">
        <v>27</v>
      </c>
      <c r="L299" s="8">
        <v>3.9</v>
      </c>
      <c r="M299" s="8">
        <v>36.0</v>
      </c>
      <c r="N299" s="6" t="s">
        <v>21</v>
      </c>
      <c r="O299" s="9"/>
    </row>
    <row r="300" ht="22.5" customHeight="1">
      <c r="A300" s="6" t="s">
        <v>554</v>
      </c>
      <c r="B300" s="6" t="s">
        <v>555</v>
      </c>
      <c r="C300" s="7">
        <v>46229.0</v>
      </c>
      <c r="D300" s="6" t="s">
        <v>30</v>
      </c>
      <c r="E300" s="6" t="s">
        <v>36</v>
      </c>
      <c r="F300" s="6" t="s">
        <v>19</v>
      </c>
      <c r="G300" s="8">
        <v>2.0</v>
      </c>
      <c r="H300" s="8">
        <v>99.0</v>
      </c>
      <c r="I300" s="8">
        <v>0.16</v>
      </c>
      <c r="J300" s="8">
        <v>166.32</v>
      </c>
      <c r="K300" s="6" t="s">
        <v>51</v>
      </c>
      <c r="L300" s="8">
        <v>4.1</v>
      </c>
      <c r="M300" s="8">
        <v>45.0</v>
      </c>
      <c r="N300" s="6" t="s">
        <v>21</v>
      </c>
      <c r="O300" s="9"/>
    </row>
    <row r="301" ht="22.5" customHeight="1">
      <c r="A301" s="6" t="s">
        <v>556</v>
      </c>
      <c r="B301" s="6" t="s">
        <v>557</v>
      </c>
      <c r="C301" s="7">
        <v>46230.0</v>
      </c>
      <c r="D301" s="6" t="s">
        <v>30</v>
      </c>
      <c r="E301" s="6" t="s">
        <v>36</v>
      </c>
      <c r="F301" s="6" t="s">
        <v>37</v>
      </c>
      <c r="G301" s="8">
        <v>1.0</v>
      </c>
      <c r="H301" s="8">
        <v>1999.0</v>
      </c>
      <c r="I301" s="8">
        <v>0.21</v>
      </c>
      <c r="J301" s="8">
        <v>1579.21</v>
      </c>
      <c r="K301" s="6" t="s">
        <v>27</v>
      </c>
      <c r="L301" s="8">
        <v>2.7</v>
      </c>
      <c r="M301" s="8">
        <v>50.0</v>
      </c>
      <c r="N301" s="6" t="s">
        <v>21</v>
      </c>
      <c r="O301" s="9"/>
    </row>
    <row r="302" ht="22.5" customHeight="1">
      <c r="A302" s="10"/>
      <c r="B302" s="10"/>
      <c r="C302" s="11"/>
      <c r="D302" s="10"/>
      <c r="E302" s="10"/>
      <c r="F302" s="10"/>
      <c r="G302" s="12"/>
      <c r="H302" s="12"/>
      <c r="I302" s="12"/>
      <c r="J302" s="12"/>
      <c r="K302" s="10"/>
      <c r="L302" s="12"/>
      <c r="M302" s="12"/>
      <c r="N302" s="10"/>
      <c r="O302" s="13"/>
    </row>
    <row r="303" ht="22.5" customHeight="1">
      <c r="A303" s="10"/>
      <c r="B303" s="10"/>
      <c r="C303" s="11"/>
      <c r="D303" s="10"/>
      <c r="E303" s="10"/>
      <c r="F303" s="10"/>
      <c r="G303" s="12"/>
      <c r="H303" s="12"/>
      <c r="I303" s="12"/>
      <c r="J303" s="12"/>
      <c r="K303" s="10"/>
      <c r="L303" s="12"/>
      <c r="M303" s="12"/>
      <c r="N303" s="10"/>
      <c r="O303" s="13"/>
    </row>
    <row r="304" ht="22.5" customHeight="1">
      <c r="A304" s="10"/>
      <c r="B304" s="10"/>
      <c r="C304" s="11"/>
      <c r="D304" s="10"/>
      <c r="E304" s="10"/>
      <c r="F304" s="10"/>
      <c r="G304" s="12"/>
      <c r="H304" s="12"/>
      <c r="I304" s="12"/>
      <c r="J304" s="12"/>
      <c r="K304" s="10"/>
      <c r="L304" s="12"/>
      <c r="M304" s="12"/>
      <c r="N304" s="10"/>
      <c r="O304" s="13"/>
    </row>
    <row r="305" ht="22.5" customHeight="1">
      <c r="A305" s="10"/>
      <c r="B305" s="10"/>
      <c r="C305" s="11"/>
      <c r="D305" s="10"/>
      <c r="E305" s="10"/>
      <c r="F305" s="10"/>
      <c r="G305" s="12"/>
      <c r="H305" s="12"/>
      <c r="I305" s="12"/>
      <c r="J305" s="12"/>
      <c r="K305" s="10"/>
      <c r="L305" s="12"/>
      <c r="M305" s="12"/>
      <c r="N305" s="10"/>
      <c r="O305" s="13"/>
    </row>
    <row r="306" ht="22.5" customHeight="1">
      <c r="A306" s="10"/>
      <c r="B306" s="10"/>
      <c r="C306" s="11"/>
      <c r="D306" s="10"/>
      <c r="E306" s="10"/>
      <c r="F306" s="10"/>
      <c r="G306" s="12"/>
      <c r="H306" s="12"/>
      <c r="I306" s="12"/>
      <c r="J306" s="12"/>
      <c r="K306" s="10"/>
      <c r="L306" s="12"/>
      <c r="M306" s="12"/>
      <c r="N306" s="10"/>
      <c r="O306" s="13"/>
    </row>
  </sheetData>
  <conditionalFormatting sqref="C1:C1000">
    <cfRule type="notContainsBlanks" dxfId="5" priority="1">
      <formula>LEN(TRIM(C1))&gt;0</formula>
    </cfRule>
  </conditionalFormatting>
  <dataValidations>
    <dataValidation type="list" allowBlank="1" showDropDown="1" showErrorMessage="1" sqref="N2:N306">
      <formula1>"No,Yes"</formula1>
    </dataValidation>
    <dataValidation type="list" allowBlank="1" showDropDown="1" showErrorMessage="1" sqref="A2:A306">
      <formula1>"ORD25100082,ORD25070039,ORD25120014,ORD25110102,ORD25120237,ORD25070189,ORD25100054,ORD25080101,ORD25070031,ORD25080268,ORD25070250,ORD25110153,ORD25090277,ORD25120132,ORD25120005,ORD25080180,ORD25110038,ORD25080150,ORD25090234,ORD25110061,ORD25100063,ORD"&amp;"25090099,ORD25100169,ORD25110045,ORD25080274,ORD25070072,ORD25110181,ORD25100291,ORD25120040,ORD25080032,ORD25110218,ORD25120016,ORD25120194,ORD25070289,ORD25120125,ORD25100226,ORD25090052,ORD25070107,ORD25120058,ORD25110213,ORD25110168,ORD25110022,ORD250"&amp;"90255,ORD25120272,ORD25090269,ORD25090018,ORD25100286,ORD25120256,ORD25090146,ORD25120192,ORD25120084,ORD25080172,ORD25110073,ORD25120216,ORD25080247,ORD25090100,ORD25080298,ORD25110106,ORD25120207,ORD25080033,ORD25070070,ORD25120151,ORD25120193,ORD250901"&amp;"10,ORD25080159,ORD25110232,ORD25070134,ORD25090288,ORD25090091,ORD25120055,ORD25080089,ORD25110030,ORD25080096,ORD25110265,ORD25070147,ORD25070253,ORD25100267,ORD25070006,ORD25070197,ORD25090123,ORD25100027,ORD25120184,ORD25080090,ORD25090076,ORD25100279,"&amp;"ORD25090283,ORD25110230,ORD25100116,ORD25080078,ORD25120081,ORD25120079,ORD25070105,ORD25080009,ORD25110046,ORD25080214,ORD25080007,ORD25120028,ORD25110004,ORD25090155,ORD25110104,ORD25070021,ORD25090176,ORD25110202,ORD25090017,ORD25100128,ORD25090280,ORD"&amp;"25090164,ORD25090149,ORD25070175,ORD25110037,ORD25120024,ORD25110299,ORD25070124,ORD25080205,ORD25120003,ORD25070010,ORD25100185,ORD25080075,ORD25080208,ORD25090141,ORD25080221,ORD25110163,ORD25090135,ORD25090254,ORD25100094,ORD25070178,ORD25090133,ORD251"&amp;"00160,ORD25110157,ORD25120093,ORD25120167,ORD25080257,ORD25110117,ORD25070243,ORD25120152,ORD25120156,ORD25120087,ORD25080273,ORD25120182,ORD25110029,ORD25120056,ORD25120048,ORD25090199,ORD25090108,ORD25090260,ORD25110026,ORD25110098,ORD25080154,ORD250900"&amp;"80,ORD25100012,ORD25120143,ORD25110139,ORD25110236,ORD25080196,ORD25110068,ORD25110198,ORD25070083,ORD25120069,ORD25120281,ORD25090074,ORD25090043,ORD25080282,ORD25080166,ORD25090008,ORD25080131,ORD25080278,ORD25120238,ORD25110020,ORD25110173,ORD25100122,"&amp;"ORD25070285,ORD25120137,ORD25110201,ORD25080085,ORD25080227,ORD25120114,ORD25080044,ORD25120190,ORD25070223,ORD25070270,ORD25110217,ORD25110212,ORD25110036,ORD25120112,ORD25080034,ORD25120174,ORD25080001,ORD25100233,ORD25100136,ORD25080264,ORD25080203,ORD"&amp;"25070263,ORD25120071,ORD25120271,ORD25080191,ORD25110258,ORD25100011,ORD25120294,ORD25100019,ORD25080292,ORD25080049,ORD25090219,ORD25100067,ORD25070042,ORD25080300,ORD25100140,ORD25070077,ORD25100095,ORD25080086,ORD25080186,ORD25110290,ORD25090097,ORD250"&amp;"80224,ORD25080162,ORD25100119,ORD25110088,ORD25120259,ORD25100103,ORD25090284,ORD25090065,ORD25090165,ORD25090211,ORD25080161,ORD25070092,ORD25090200,ORD25090295,ORD25090204,ORD25070015,ORD25100113,ORD25070296,ORD25100229,ORD25120266,ORD25080035,ORD250802"&amp;"25,ORD25080210,ORD25080177,ORD25090244,ORD25090051,ORD25080171,ORD25120170,ORD25080148,ORD25120111,ORD25080062,ORD25110179,ORD25070158,ORD25070195,ORD25070231,ORD25120047,ORD25120245,ORD25100241,ORD25080144,ORD25090115,ORD25100248,ORD25090287,ORD25090109,"&amp;"ORD25110220,ORD25120002,ORD25070041,ORD25100025,ORD25070262,ORD25090240,ORD25080145,ORD25100129,ORD25120187,ORD25070053,ORD25110246,ORD25090261,ORD25100064,ORD25100183,ORD25070293,ORD25070206,ORD25090059,ORD25100142,ORD25070050,ORD25090209,ORD25070138,ORD"&amp;"25120120,ORD25110276,ORD25080228,ORD25080130,ORD25080215,ORD25070275,ORD25100013,ORD25110121,ORD25120235,ORD25080188,ORD25090239,ORD25100222,ORD25090118,ORD25070249,ORD25120242,ORD25110251,ORD25100297,ORD25120060,ORD25090023,ORD25120066,ORD25120126,ORD251"&amp;"10252,ORD25120057,ORD25080127"</formula1>
    </dataValidation>
    <dataValidation type="custom" allowBlank="1" showDropDown="1" sqref="C2:C306">
      <formula1>OR(NOT(ISERROR(DATEVALUE(C2))), AND(ISNUMBER(C2), LEFT(CELL("format", C2))="D"))</formula1>
    </dataValidation>
    <dataValidation type="list" allowBlank="1" showDropDown="1" showErrorMessage="1" sqref="E2:E306">
      <formula1>"Kolkata,Gurgaon,Chennai,Madurai,Pune,Ahmedabad,Jaipur,Mumbai,Patna,Coimbatore,Guwahati,Salem,Surat,Bhubaneswar,Noida,Delhi"</formula1>
    </dataValidation>
    <dataValidation type="list" allowBlank="1" showDropDown="1" showErrorMessage="1" sqref="F2:F306">
      <formula1>"Home,Fashion,Beauty,Electronics,Sports,Grocery"</formula1>
    </dataValidation>
    <dataValidation type="custom" allowBlank="1" showDropDown="1" sqref="G2:J306 L2:M306">
      <formula1>AND(ISNUMBER(G2),(NOT(OR(NOT(ISERROR(DATEVALUE(G2))), AND(ISNUMBER(G2), LEFT(CELL("format", G2))="D")))))</formula1>
    </dataValidation>
    <dataValidation type="list" allowBlank="1" showDropDown="1" showErrorMessage="1" sqref="K2:K306">
      <formula1>"Cash,UPI,Card,NetBanking"</formula1>
    </dataValidation>
    <dataValidation type="list" allowBlank="1" showDropDown="1" showErrorMessage="1" sqref="D2:D306">
      <formula1>"East,North,South,West"</formula1>
    </dataValidation>
    <dataValidation type="list" allowBlank="1" showDropDown="1" showErrorMessage="1" sqref="B2:B306">
      <formula1>"CUST1020,CUST1121,CUST1021,CUST1306,CUST1233,CUST1100,CUST1292,CUST1186,CUST1264,CUST1330,CUST1178,CUST1209,CUST1311,CUST1285,CUST1347,CUST1335,CUST1080,CUST1046,CUST1144,CUST1364,CUST1303,CUST1055,CUST1312,CUST1214,CUST1235,CUST1022,CUST1159,CUST1265,CUS"&amp;"T1030,CUST1014,CUST1249,CUST1222,CUST1168,CUST1104,CUST1372,CUST1182,CUST1304,CUST1381,CUST1206,CUST1003,CUST1202,CUST1323,CUST1371,CUST1017,CUST1283,CUST1134,CUST1188,CUST1034,CUST1341,CUST1351,CUST1061,CUST1132,CUST1205,CUST1081,CUST1108,CUST1396,CUST10"&amp;"79,CUST1322,CUST1039,CUST1029,CUST1015,CUST1307,CUST1276,CUST1085,CUST1318,CUST1315,CUST1388,CUST1378,CUST1099,CUST1281,CUST1035,CUST1151,CUST1299,CUST1362,CUST1337,CUST1394,CUST1069,CUST1087,CUST1288,CUST1294,CUST1122,CUST1280,CUST1268,CUST1173,CUST1072,"&amp;"CUST1332,CUST1344,CUST1274,CUST1314,CUST1130,CUST1059,CUST1326,CUST1032,CUST1298,CUST1062,CUST1261,CUST1308,CUST1227,CUST1124,CUST1201,CUST1216,CUST1074,CUST1018,CUST1084,CUST1248,CUST1240,CUST1153,CUST1189,CUST1252,CUST1016,CUST1086,CUST1321,CUST1217,CUS"&amp;"T1379,CUST1019,CUST1365,CUST1251,CUST1049,CUST1207,CUST1043,CUST1272,CUST1102,CUST1387,CUST1119,CUST1310,CUST1215,CUST1349,CUST1356,CUST1399,CUST1225,CUST1320,CUST1300,CUST1253,CUST1008,CUST1004,CUST1305,CUST1137,CUST1271,CUST1184,CUST1392,CUST1368,CUST12"&amp;"56,CUST1053,CUST1397,CUST1250,CUST1167,CUST1340,CUST1212,CUST1355,CUST1336,CUST1006,CUST1097,CUST1196,CUST1291,CUST1174,CUST1088,CUST1339,CUST1333,CUST1198,CUST1044,CUST1210,CUST1325,CUST1161,CUST1026,CUST1023,CUST1038,CUST1089,CUST1112,CUST1363,CUST1346,"&amp;"CUST1180,CUST1183,CUST1273,CUST1092,CUST1275,CUST1247,CUST1166,CUST1163,CUST1367,CUST1116,CUST1352,CUST1011,CUST1270,CUST1200,CUST1169,CUST1263,CUST1377,CUST1139,CUST1342,CUST1123,CUST1024,CUST1158,CUST1260,CUST1148,CUST1066,CUST1052,CUST1313,CUST1025,CUS"&amp;"T1197,CUST1193,CUST1125,CUST1064,CUST1278,CUST1309,CUST1234,CUST1358,CUST1149,CUST1243,CUST1114,CUST1103,CUST1111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88"/>
  </cols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53.75"/>
  </cols>
  <sheetData>
    <row r="1">
      <c r="A1" s="1" t="s">
        <v>561</v>
      </c>
      <c r="B1" s="2">
        <f>COUNTA(table_clean[Order_ID])</f>
        <v>300</v>
      </c>
    </row>
    <row r="2">
      <c r="A2" s="1" t="s">
        <v>562</v>
      </c>
      <c r="B2" s="2">
        <f t="array" ref="B2">COUNTA(UNIQUE(table_clean[Customer_ID])) </f>
        <v>211</v>
      </c>
    </row>
    <row r="3">
      <c r="A3" s="1" t="s">
        <v>563</v>
      </c>
      <c r="B3" s="15">
        <f>SUM(table_clean[Total_Amount])</f>
        <v>325029.2</v>
      </c>
    </row>
    <row r="4">
      <c r="A4" s="1" t="s">
        <v>564</v>
      </c>
      <c r="B4" s="15">
        <f>AVERAGE(table_clean[Total_Amount])</f>
        <v>1083.430667</v>
      </c>
    </row>
    <row r="5">
      <c r="A5" s="1" t="s">
        <v>565</v>
      </c>
      <c r="B5" s="15">
        <f>AVERAGE(table_clean[Rating])</f>
        <v>4.110666667</v>
      </c>
    </row>
    <row r="6">
      <c r="A6" s="1" t="s">
        <v>566</v>
      </c>
      <c r="B6" s="2">
        <f>COUNTIF(table_clean[Returned],"Yes")</f>
        <v>14</v>
      </c>
    </row>
    <row r="7">
      <c r="A7" s="1" t="s">
        <v>567</v>
      </c>
      <c r="B7" s="2">
        <f>COUNTIF(table_clean[Returned],"Yes") / COUNTA(table_clean[Order_ID])</f>
        <v>0.04666666667</v>
      </c>
    </row>
    <row r="8">
      <c r="A8" s="1" t="s">
        <v>568</v>
      </c>
      <c r="B8" s="15">
        <f>SUM(table_clean[Total_Amount])</f>
        <v>325029.2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4">
      <c r="L4" s="1" t="s">
        <v>571</v>
      </c>
    </row>
    <row r="5">
      <c r="L5" s="1" t="s">
        <v>572</v>
      </c>
    </row>
    <row r="6">
      <c r="L6" s="1" t="s">
        <v>573</v>
      </c>
    </row>
    <row r="7">
      <c r="L7" s="1" t="s">
        <v>574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